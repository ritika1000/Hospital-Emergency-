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Hp\Desktop\data\"/>
    </mc:Choice>
  </mc:AlternateContent>
  <xr:revisionPtr revIDLastSave="0" documentId="13_ncr:1_{5DE1A9D7-BFE4-45EA-B43C-CAA0DD98C86E}" xr6:coauthVersionLast="47" xr6:coauthVersionMax="47" xr10:uidLastSave="{00000000-0000-0000-0000-000000000000}"/>
  <bookViews>
    <workbookView xWindow="-120" yWindow="-120" windowWidth="20730" windowHeight="11160" activeTab="1" xr2:uid="{6FA07B70-E558-473C-B883-D592856196C1}"/>
  </bookViews>
  <sheets>
    <sheet name="Pivot Report" sheetId="1" r:id="rId1"/>
    <sheet name="Dashboard" sheetId="2" r:id="rId2"/>
    <sheet name="Daily ER No of Pateints" sheetId="3" r:id="rId3"/>
    <sheet name="Average waittime daily trend" sheetId="4" r:id="rId4"/>
    <sheet name="Satisfaction score daily trend" sheetId="6" r:id="rId5"/>
  </sheets>
  <definedNames>
    <definedName name="Slicer_Date__Month">#N/A</definedName>
    <definedName name="Slicer_Date__Year">#N/A</definedName>
  </definedNames>
  <calcPr calcId="191029"/>
  <pivotCaches>
    <pivotCache cacheId="639" r:id="rId6"/>
    <pivotCache cacheId="642" r:id="rId7"/>
    <pivotCache cacheId="645" r:id="rId8"/>
    <pivotCache cacheId="648" r:id="rId9"/>
    <pivotCache cacheId="651" r:id="rId10"/>
    <pivotCache cacheId="654" r:id="rId11"/>
    <pivotCache cacheId="657" r:id="rId12"/>
    <pivotCache cacheId="660" r:id="rId13"/>
    <pivotCache cacheId="663" r:id="rId14"/>
    <pivotCache cacheId="666" r:id="rId15"/>
    <pivotCache cacheId="669" r:id="rId16"/>
    <pivotCache cacheId="672"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39b46710-1f28-4819-a5eb-d971715628b5" name="Calender_table" connection="Query - Calender_table"/>
          <x15:modelTable id="Hospital Emergency Room Data_36dac1d5-334c-416b-a36e-34d64e2a4ad3" name="Hospital Emergency Room Data" connection="Query - Hospital Emergency Room Data"/>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C20" i="1"/>
  <c r="A20" i="1"/>
  <c r="B21" i="1"/>
  <c r="C21" i="1"/>
  <c r="A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C7B210-86D8-4C14-8001-374224E47E78}" name="Query - Calender_table" description="Connection to the 'Calender_table' query in the workbook." type="100" refreshedVersion="8" minRefreshableVersion="5">
    <extLst>
      <ext xmlns:x15="http://schemas.microsoft.com/office/spreadsheetml/2010/11/main" uri="{DE250136-89BD-433C-8126-D09CA5730AF9}">
        <x15:connection id="840f92e4-d40b-4895-94ec-8e45dafb7f8f"/>
      </ext>
    </extLst>
  </connection>
  <connection id="2" xr16:uid="{AF21D5CA-3E54-421C-AD7A-BD946DE2E5B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c8a4ea2-74dd-43d3-b69d-ec88bb9b6668"/>
      </ext>
    </extLst>
  </connection>
  <connection id="3" xr16:uid="{1B1BB4F2-3B24-45E9-AC40-6E6A5552AB0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<sst xmlns="http://schemas.openxmlformats.org/spreadsheetml/2006/main" count="66" uniqueCount="45">
  <si>
    <t>Distinct Count of Patient Id</t>
  </si>
  <si>
    <t>No of Patients</t>
  </si>
  <si>
    <t>Average of Patient Waittime</t>
  </si>
  <si>
    <t>Average of Patient Satisfaction Score</t>
  </si>
  <si>
    <t>Grand Total</t>
  </si>
  <si>
    <t>Row Labels</t>
  </si>
  <si>
    <t>Showing daily trends of no of patients</t>
  </si>
  <si>
    <t>Average Waittime</t>
  </si>
  <si>
    <t>Satisfaction score daily trend</t>
  </si>
  <si>
    <t>Admitted</t>
  </si>
  <si>
    <t>Not Admitted</t>
  </si>
  <si>
    <t>Count of Patient Admission Flag</t>
  </si>
  <si>
    <t>Count of Patient Admission Flag2</t>
  </si>
  <si>
    <t>Admission Status</t>
  </si>
  <si>
    <t>% Status</t>
  </si>
  <si>
    <t xml:space="preserve"> Patients</t>
  </si>
  <si>
    <t>Jan</t>
  </si>
  <si>
    <t>Count of Age Group</t>
  </si>
  <si>
    <t>0-09</t>
  </si>
  <si>
    <t>10-19</t>
  </si>
  <si>
    <t>20-29</t>
  </si>
  <si>
    <t>30-39</t>
  </si>
  <si>
    <t>40-49</t>
  </si>
  <si>
    <t>50-59</t>
  </si>
  <si>
    <t>60-69</t>
  </si>
  <si>
    <t>70-79</t>
  </si>
  <si>
    <t>Delay</t>
  </si>
  <si>
    <t>Ontime</t>
  </si>
  <si>
    <t>Age group wise analysis</t>
  </si>
  <si>
    <t>Count of Patient Attend Status</t>
  </si>
  <si>
    <t>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</si>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</sst>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4" fontId="0" fillId="0" borderId="0" xfId="0" applyNumberFormat="1" applyAlignment="1">
      <alignment horizontal="left" indent="1"/>
    </xf>
    <xf numFmtId="0" fontId="0" fillId="3" borderId="0" xfId="0" applyFill="1"/>
    <xf numFmtId="0" fontId="0" fillId="0" borderId="0" xfId="0" applyNumberFormat="1"/>
    <xf numFmtId="1" fontId="0" fillId="0" borderId="0" xfId="0" applyNumberFormat="1"/>
    <xf numFmtId="10" fontId="0" fillId="0" borderId="0" xfId="0" applyNumberFormat="1"/>
    <xf numFmtId="0" fontId="0" fillId="4" borderId="0" xfId="0" applyFill="1"/>
    <xf numFmtId="0" fontId="0" fillId="5" borderId="0" xfId="0" applyFill="1"/>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cellXfs>
  <cellStyles count="2">
    <cellStyle name="Normal" xfId="0" builtinId="0"/>
    <cellStyle name="Percent" xfId="1" builtinId="5"/>
  </cellStyles>
  <dxfs count="18">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9"/>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4E1070C4-E9F2-4F9B-B47E-F576F5002F37}">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75211710545426E-2"/>
          <c:y val="0.23333302712201165"/>
          <c:w val="0.96992478828945461"/>
          <c:h val="0.56666723534483543"/>
        </c:manualLayout>
      </c:layout>
      <c:barChart>
        <c:barDir val="bar"/>
        <c:grouping val="clustered"/>
        <c:varyColors val="0"/>
        <c:ser>
          <c:idx val="0"/>
          <c:order val="0"/>
          <c:tx>
            <c:strRef>
              <c:f>'Pivot Report'!$B$14</c:f>
              <c:strCache>
                <c:ptCount val="1"/>
                <c:pt idx="0">
                  <c:v>Count of Patient Admission Flag</c:v>
                </c:pt>
              </c:strCache>
            </c:strRef>
          </c:tx>
          <c:spPr>
            <a:solidFill>
              <a:schemeClr val="accent1"/>
            </a:solidFill>
            <a:ln>
              <a:noFill/>
            </a:ln>
            <a:effectLst/>
          </c:spPr>
          <c:invertIfNegative val="0"/>
          <c:cat>
            <c:strRef>
              <c:f>'Pivot Report'!$A$15:$A$17</c:f>
              <c:strCache>
                <c:ptCount val="2"/>
                <c:pt idx="0">
                  <c:v>Admitted</c:v>
                </c:pt>
                <c:pt idx="1">
                  <c:v>Not Admitted</c:v>
                </c:pt>
              </c:strCache>
            </c:strRef>
          </c:cat>
          <c:val>
            <c:numRef>
              <c:f>'Pivot Report'!$B$15:$B$17</c:f>
              <c:numCache>
                <c:formatCode>0</c:formatCode>
                <c:ptCount val="2"/>
                <c:pt idx="0">
                  <c:v>269</c:v>
                </c:pt>
                <c:pt idx="1">
                  <c:v>244</c:v>
                </c:pt>
              </c:numCache>
            </c:numRef>
          </c:val>
          <c:extLst>
            <c:ext xmlns:c16="http://schemas.microsoft.com/office/drawing/2014/chart" uri="{C3380CC4-5D6E-409C-BE32-E72D297353CC}">
              <c16:uniqueId val="{00000005-54F2-4244-B113-EFD830661C4E}"/>
            </c:ext>
          </c:extLst>
        </c:ser>
        <c:ser>
          <c:idx val="1"/>
          <c:order val="1"/>
          <c:tx>
            <c:strRef>
              <c:f>'Pivot Report'!$C$14</c:f>
              <c:strCache>
                <c:ptCount val="1"/>
                <c:pt idx="0">
                  <c:v>Count of Patient Admission Flag2</c:v>
                </c:pt>
              </c:strCache>
            </c:strRef>
          </c:tx>
          <c:spPr>
            <a:solidFill>
              <a:schemeClr val="accent2"/>
            </a:solidFill>
            <a:ln>
              <a:noFill/>
            </a:ln>
            <a:effectLst/>
          </c:spPr>
          <c:invertIfNegative val="0"/>
          <c:cat>
            <c:strRef>
              <c:f>'Pivot Report'!$A$15:$A$17</c:f>
              <c:strCache>
                <c:ptCount val="2"/>
                <c:pt idx="0">
                  <c:v>Admitted</c:v>
                </c:pt>
                <c:pt idx="1">
                  <c:v>Not Admitted</c:v>
                </c:pt>
              </c:strCache>
            </c:strRef>
          </c:cat>
          <c:val>
            <c:numRef>
              <c:f>'Pivot Report'!$C$15:$C$17</c:f>
              <c:numCache>
                <c:formatCode>0.00%</c:formatCode>
                <c:ptCount val="2"/>
                <c:pt idx="0">
                  <c:v>0.52436647173489281</c:v>
                </c:pt>
                <c:pt idx="1">
                  <c:v>0.47563352826510719</c:v>
                </c:pt>
              </c:numCache>
            </c:numRef>
          </c:val>
          <c:extLst>
            <c:ext xmlns:c16="http://schemas.microsoft.com/office/drawing/2014/chart" uri="{C3380CC4-5D6E-409C-BE32-E72D297353CC}">
              <c16:uniqueId val="{00000006-54F2-4244-B113-EFD830661C4E}"/>
            </c:ext>
          </c:extLst>
        </c:ser>
        <c:dLbls>
          <c:showLegendKey val="0"/>
          <c:showVal val="0"/>
          <c:showCatName val="0"/>
          <c:showSerName val="0"/>
          <c:showPercent val="0"/>
          <c:showBubbleSize val="0"/>
        </c:dLbls>
        <c:gapWidth val="0"/>
        <c:overlap val="-20"/>
        <c:axId val="1368268240"/>
        <c:axId val="1368267760"/>
      </c:barChart>
      <c:catAx>
        <c:axId val="1368268240"/>
        <c:scaling>
          <c:orientation val="minMax"/>
        </c:scaling>
        <c:delete val="1"/>
        <c:axPos val="l"/>
        <c:numFmt formatCode="General" sourceLinked="1"/>
        <c:majorTickMark val="none"/>
        <c:minorTickMark val="none"/>
        <c:tickLblPos val="nextTo"/>
        <c:crossAx val="1368267760"/>
        <c:crosses val="autoZero"/>
        <c:auto val="1"/>
        <c:lblAlgn val="ctr"/>
        <c:lblOffset val="100"/>
        <c:noMultiLvlLbl val="0"/>
      </c:catAx>
      <c:valAx>
        <c:axId val="1368267760"/>
        <c:scaling>
          <c:orientation val="minMax"/>
        </c:scaling>
        <c:delete val="1"/>
        <c:axPos val="b"/>
        <c:numFmt formatCode="0" sourceLinked="1"/>
        <c:majorTickMark val="none"/>
        <c:minorTickMark val="none"/>
        <c:tickLblPos val="nextTo"/>
        <c:crossAx val="136826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5251167905413"/>
          <c:y val="0.1394636688514406"/>
          <c:w val="0.78209497664189176"/>
          <c:h val="0.56168561218118673"/>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multiLvlStrRef>
              <c:f>'Pivot Report'!$F$5:$F$37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Report'!$G$5:$G$37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E63C-4EF9-9E36-BF0A537D749B}"/>
            </c:ext>
          </c:extLst>
        </c:ser>
        <c:dLbls>
          <c:showLegendKey val="0"/>
          <c:showVal val="0"/>
          <c:showCatName val="0"/>
          <c:showSerName val="0"/>
          <c:showPercent val="0"/>
          <c:showBubbleSize val="0"/>
        </c:dLbls>
        <c:axId val="1906869535"/>
        <c:axId val="1906915615"/>
      </c:areaChart>
      <c:catAx>
        <c:axId val="1906869535"/>
        <c:scaling>
          <c:orientation val="minMax"/>
        </c:scaling>
        <c:delete val="1"/>
        <c:axPos val="b"/>
        <c:numFmt formatCode="General" sourceLinked="1"/>
        <c:majorTickMark val="out"/>
        <c:minorTickMark val="none"/>
        <c:tickLblPos val="nextTo"/>
        <c:crossAx val="1906915615"/>
        <c:crosses val="autoZero"/>
        <c:auto val="1"/>
        <c:lblAlgn val="ctr"/>
        <c:lblOffset val="100"/>
        <c:noMultiLvlLbl val="0"/>
      </c:catAx>
      <c:valAx>
        <c:axId val="1906915615"/>
        <c:scaling>
          <c:orientation val="minMax"/>
        </c:scaling>
        <c:delete val="1"/>
        <c:axPos val="l"/>
        <c:numFmt formatCode="General" sourceLinked="1"/>
        <c:majorTickMark val="none"/>
        <c:minorTickMark val="none"/>
        <c:tickLblPos val="nextTo"/>
        <c:crossAx val="19068695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multiLvlStrRef>
              <c:f>'Pivot Report'!$K$5:$K$37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Report'!$L$5:$L$37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FC56-46D1-9922-253E63AF57B5}"/>
            </c:ext>
          </c:extLst>
        </c:ser>
        <c:dLbls>
          <c:showLegendKey val="0"/>
          <c:showVal val="0"/>
          <c:showCatName val="0"/>
          <c:showSerName val="0"/>
          <c:showPercent val="0"/>
          <c:showBubbleSize val="0"/>
        </c:dLbls>
        <c:axId val="1906939135"/>
        <c:axId val="1906935295"/>
      </c:areaChart>
      <c:catAx>
        <c:axId val="1906939135"/>
        <c:scaling>
          <c:orientation val="minMax"/>
        </c:scaling>
        <c:delete val="1"/>
        <c:axPos val="b"/>
        <c:numFmt formatCode="General" sourceLinked="1"/>
        <c:majorTickMark val="out"/>
        <c:minorTickMark val="none"/>
        <c:tickLblPos val="nextTo"/>
        <c:crossAx val="1906935295"/>
        <c:crosses val="autoZero"/>
        <c:auto val="1"/>
        <c:lblAlgn val="ctr"/>
        <c:lblOffset val="100"/>
        <c:noMultiLvlLbl val="0"/>
      </c:catAx>
      <c:valAx>
        <c:axId val="1906935295"/>
        <c:scaling>
          <c:orientation val="minMax"/>
        </c:scaling>
        <c:delete val="1"/>
        <c:axPos val="l"/>
        <c:numFmt formatCode="0.00" sourceLinked="1"/>
        <c:majorTickMark val="none"/>
        <c:minorTickMark val="none"/>
        <c:tickLblPos val="nextTo"/>
        <c:crossAx val="19069391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Report'!$Q$4</c:f>
              <c:strCache>
                <c:ptCount val="1"/>
                <c:pt idx="0">
                  <c:v>Total</c:v>
                </c:pt>
              </c:strCache>
            </c:strRef>
          </c:tx>
          <c:spPr>
            <a:solidFill>
              <a:schemeClr val="accent1"/>
            </a:solidFill>
            <a:ln w="25400">
              <a:noFill/>
            </a:ln>
            <a:effectLst/>
          </c:spPr>
          <c:cat>
            <c:multiLvlStrRef>
              <c:f>'Pivot Report'!$P$5:$P$37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Report'!$Q$5:$Q$37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BBD7-4733-AA3A-45CA02223B47}"/>
            </c:ext>
          </c:extLst>
        </c:ser>
        <c:dLbls>
          <c:showLegendKey val="0"/>
          <c:showVal val="0"/>
          <c:showCatName val="0"/>
          <c:showSerName val="0"/>
          <c:showPercent val="0"/>
          <c:showBubbleSize val="0"/>
        </c:dLbls>
        <c:axId val="1932071104"/>
        <c:axId val="1932077824"/>
      </c:areaChart>
      <c:catAx>
        <c:axId val="1932071104"/>
        <c:scaling>
          <c:orientation val="minMax"/>
        </c:scaling>
        <c:delete val="1"/>
        <c:axPos val="b"/>
        <c:numFmt formatCode="General" sourceLinked="1"/>
        <c:majorTickMark val="out"/>
        <c:minorTickMark val="none"/>
        <c:tickLblPos val="nextTo"/>
        <c:crossAx val="1932077824"/>
        <c:crosses val="autoZero"/>
        <c:auto val="1"/>
        <c:lblAlgn val="ctr"/>
        <c:lblOffset val="100"/>
        <c:noMultiLvlLbl val="0"/>
      </c:catAx>
      <c:valAx>
        <c:axId val="1932077824"/>
        <c:scaling>
          <c:orientation val="minMax"/>
        </c:scaling>
        <c:delete val="1"/>
        <c:axPos val="l"/>
        <c:numFmt formatCode="0.00" sourceLinked="1"/>
        <c:majorTickMark val="none"/>
        <c:minorTickMark val="none"/>
        <c:tickLblPos val="nextTo"/>
        <c:crossAx val="1932071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Report'!$A$25:$A$33</c:f>
              <c:strCache>
                <c:ptCount val="8"/>
                <c:pt idx="0">
                  <c:v>0-09</c:v>
                </c:pt>
                <c:pt idx="1">
                  <c:v>10-19</c:v>
                </c:pt>
                <c:pt idx="2">
                  <c:v>20-29</c:v>
                </c:pt>
                <c:pt idx="3">
                  <c:v>30-39</c:v>
                </c:pt>
                <c:pt idx="4">
                  <c:v>40-49</c:v>
                </c:pt>
                <c:pt idx="5">
                  <c:v>50-59</c:v>
                </c:pt>
                <c:pt idx="6">
                  <c:v>60-69</c:v>
                </c:pt>
                <c:pt idx="7">
                  <c:v>70-79</c:v>
                </c:pt>
              </c:strCache>
            </c:strRef>
          </c:cat>
          <c:val>
            <c:numRef>
              <c:f>'Pivot Report'!$B$25:$B$33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763E-4A67-A67C-3F7F678D1B74}"/>
            </c:ext>
          </c:extLst>
        </c:ser>
        <c:dLbls>
          <c:showLegendKey val="0"/>
          <c:showVal val="0"/>
          <c:showCatName val="0"/>
          <c:showSerName val="0"/>
          <c:showPercent val="0"/>
          <c:showBubbleSize val="0"/>
        </c:dLbls>
        <c:gapWidth val="219"/>
        <c:overlap val="-27"/>
        <c:axId val="72821280"/>
        <c:axId val="72821760"/>
      </c:barChart>
      <c:catAx>
        <c:axId val="72821280"/>
        <c:scaling>
          <c:orientation val="minMax"/>
        </c:scaling>
        <c:delete val="0"/>
        <c:axPos val="b"/>
        <c:title>
          <c:tx>
            <c:rich>
              <a:bodyPr rot="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r>
                  <a:rPr lang="en-IN" sz="600" b="1">
                    <a:solidFill>
                      <a:schemeClr val="tx1"/>
                    </a:solidFill>
                  </a:rPr>
                  <a:t>No.</a:t>
                </a:r>
                <a:r>
                  <a:rPr lang="en-IN" sz="600" b="1" baseline="0">
                    <a:solidFill>
                      <a:schemeClr val="tx1"/>
                    </a:solidFill>
                  </a:rPr>
                  <a:t> of Patients by Age</a:t>
                </a:r>
                <a:r>
                  <a:rPr lang="en-IN" sz="600" b="1">
                    <a:solidFill>
                      <a:schemeClr val="tx1"/>
                    </a:solidFill>
                  </a:rPr>
                  <a:t> Group</a:t>
                </a:r>
              </a:p>
            </c:rich>
          </c:tx>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2821760"/>
        <c:crosses val="autoZero"/>
        <c:auto val="1"/>
        <c:lblAlgn val="ctr"/>
        <c:lblOffset val="100"/>
        <c:noMultiLvlLbl val="0"/>
      </c:catAx>
      <c:valAx>
        <c:axId val="72821760"/>
        <c:scaling>
          <c:orientation val="minMax"/>
        </c:scaling>
        <c:delete val="1"/>
        <c:axPos val="l"/>
        <c:numFmt formatCode="0" sourceLinked="1"/>
        <c:majorTickMark val="none"/>
        <c:minorTickMark val="none"/>
        <c:tickLblPos val="nextTo"/>
        <c:crossAx val="7282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3463883936187653E-2"/>
          <c:y val="0.1919261287648362"/>
          <c:w val="0.50286847818451252"/>
          <c:h val="0.54277983344743019"/>
        </c:manualLayout>
      </c:layout>
      <c:pieChart>
        <c:varyColors val="1"/>
        <c:ser>
          <c:idx val="0"/>
          <c:order val="0"/>
          <c:tx>
            <c:strRef>
              <c:f>'Pivot Report'!$B$36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Report'!$A$37:$A$39</c:f>
              <c:strCache>
                <c:ptCount val="2"/>
                <c:pt idx="0">
                  <c:v>Delay</c:v>
                </c:pt>
                <c:pt idx="1">
                  <c:v>Ontime</c:v>
                </c:pt>
              </c:strCache>
            </c:strRef>
          </c:cat>
          <c:val>
            <c:numRef>
              <c:f>'Pivot Report'!$B$37:$B$39</c:f>
              <c:numCache>
                <c:formatCode>0</c:formatCode>
                <c:ptCount val="2"/>
                <c:pt idx="0">
                  <c:v>316</c:v>
                </c:pt>
                <c:pt idx="1">
                  <c:v>197</c:v>
                </c:pt>
              </c:numCache>
            </c:numRef>
          </c:val>
          <c:extLst>
            <c:ext xmlns:c16="http://schemas.microsoft.com/office/drawing/2014/chart" uri="{C3380CC4-5D6E-409C-BE32-E72D297353CC}">
              <c16:uniqueId val="{00000008-9FE0-499A-B994-4EF0DEC194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6.1117619631613385E-2"/>
          <c:w val="0.70981392211988736"/>
          <c:h val="0.1536090988626421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Report!PivotTable10</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865122810123844"/>
          <c:y val="0.19528173206505384"/>
          <c:w val="0.39492431165661335"/>
          <c:h val="0.56789553049235242"/>
        </c:manualLayout>
      </c:layout>
      <c:doughnutChart>
        <c:varyColors val="1"/>
        <c:ser>
          <c:idx val="0"/>
          <c:order val="0"/>
          <c:tx>
            <c:strRef>
              <c:f>'Pivot Report'!$B$41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Report'!$A$42:$A$44</c:f>
              <c:strCache>
                <c:ptCount val="2"/>
                <c:pt idx="0">
                  <c:v>Female</c:v>
                </c:pt>
                <c:pt idx="1">
                  <c:v>Male</c:v>
                </c:pt>
              </c:strCache>
            </c:strRef>
          </c:cat>
          <c:val>
            <c:numRef>
              <c:f>'Pivot Report'!$B$42:$B$44</c:f>
              <c:numCache>
                <c:formatCode>0</c:formatCode>
                <c:ptCount val="2"/>
                <c:pt idx="0">
                  <c:v>241</c:v>
                </c:pt>
                <c:pt idx="1">
                  <c:v>272</c:v>
                </c:pt>
              </c:numCache>
            </c:numRef>
          </c:val>
          <c:extLst>
            <c:ext xmlns:c16="http://schemas.microsoft.com/office/drawing/2014/chart" uri="{C3380CC4-5D6E-409C-BE32-E72D297353CC}">
              <c16:uniqueId val="{00000007-0625-4994-8E1F-A45F8D376F0A}"/>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layout>
        <c:manualLayout>
          <c:xMode val="edge"/>
          <c:yMode val="edge"/>
          <c:x val="1.7017341950207061E-3"/>
          <c:y val="6.0338680343848539E-2"/>
          <c:w val="0.76608988042390003"/>
          <c:h val="0.176657289612713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00676560242307"/>
          <c:y val="0.12899220397019215"/>
          <c:w val="0.61548352154283736"/>
          <c:h val="0.74697221878444586"/>
        </c:manualLayout>
      </c:layout>
      <c:barChart>
        <c:barDir val="bar"/>
        <c:grouping val="clustered"/>
        <c:varyColors val="0"/>
        <c:ser>
          <c:idx val="0"/>
          <c:order val="0"/>
          <c:tx>
            <c:strRef>
              <c:f>'Pivot Report'!$B$47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Report'!$B$48:$B$56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B3E8-4DFB-BE52-958F6640E8F0}"/>
            </c:ext>
          </c:extLst>
        </c:ser>
        <c:dLbls>
          <c:showLegendKey val="0"/>
          <c:showVal val="0"/>
          <c:showCatName val="0"/>
          <c:showSerName val="0"/>
          <c:showPercent val="0"/>
          <c:showBubbleSize val="0"/>
        </c:dLbls>
        <c:gapWidth val="40"/>
        <c:axId val="82488192"/>
        <c:axId val="82475232"/>
      </c:barChart>
      <c:catAx>
        <c:axId val="8248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2475232"/>
        <c:crosses val="autoZero"/>
        <c:auto val="1"/>
        <c:lblAlgn val="ctr"/>
        <c:lblOffset val="100"/>
        <c:noMultiLvlLbl val="0"/>
      </c:catAx>
      <c:valAx>
        <c:axId val="82475232"/>
        <c:scaling>
          <c:orientation val="minMax"/>
        </c:scaling>
        <c:delete val="1"/>
        <c:axPos val="b"/>
        <c:numFmt formatCode="0" sourceLinked="1"/>
        <c:majorTickMark val="none"/>
        <c:minorTickMark val="none"/>
        <c:tickLblPos val="nextTo"/>
        <c:crossAx val="8248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Report'!$F$5:$F$37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Report'!$G$5:$G$37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AE98-464B-ACDE-DA3467DD92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6869535"/>
        <c:axId val="1906915615"/>
      </c:areaChart>
      <c:catAx>
        <c:axId val="19068695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sz="1100"/>
                  <a:t>Showing</a:t>
                </a:r>
                <a:r>
                  <a:rPr lang="en-IN" sz="1100" baseline="0"/>
                  <a:t>  a daily trend with an area sparkline to spot patterns like busy days or seasonal trends</a:t>
                </a:r>
                <a:endParaRPr lang="en-IN" sz="1100"/>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6915615"/>
        <c:crosses val="autoZero"/>
        <c:auto val="1"/>
        <c:lblAlgn val="ctr"/>
        <c:lblOffset val="100"/>
        <c:noMultiLvlLbl val="0"/>
      </c:catAx>
      <c:valAx>
        <c:axId val="1906915615"/>
        <c:scaling>
          <c:orientation val="minMax"/>
        </c:scaling>
        <c:delete val="1"/>
        <c:axPos val="l"/>
        <c:numFmt formatCode="General" sourceLinked="1"/>
        <c:majorTickMark val="out"/>
        <c:minorTickMark val="none"/>
        <c:tickLblPos val="nextTo"/>
        <c:crossAx val="19068695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Report'!$K$5:$K$37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Report'!$L$5:$L$37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C0ED-4AFA-9E97-52A214D89B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6939135"/>
        <c:axId val="1906935295"/>
      </c:areaChart>
      <c:catAx>
        <c:axId val="19069391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sz="1200"/>
                  <a:t>Use</a:t>
                </a:r>
                <a:r>
                  <a:rPr lang="en-IN" sz="1200" baseline="0"/>
                  <a:t> an area sparkline to track daily changes and highlights days with longer wait times that might need improvements</a:t>
                </a:r>
                <a:endParaRPr lang="en-IN" sz="1200"/>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6935295"/>
        <c:crosses val="autoZero"/>
        <c:auto val="1"/>
        <c:lblAlgn val="ctr"/>
        <c:lblOffset val="100"/>
        <c:noMultiLvlLbl val="0"/>
      </c:catAx>
      <c:valAx>
        <c:axId val="1906935295"/>
        <c:scaling>
          <c:orientation val="minMax"/>
        </c:scaling>
        <c:delete val="1"/>
        <c:axPos val="l"/>
        <c:numFmt formatCode="0.00" sourceLinked="1"/>
        <c:majorTickMark val="out"/>
        <c:minorTickMark val="none"/>
        <c:tickLblPos val="nextTo"/>
        <c:crossAx val="19069391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Report'!$P$5:$P$37</c:f>
              <c:multiLvlStrCache>
                <c:ptCount val="31"/>
                <c:lvl>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lvl>
                <c:lvl>
                  <c:pt idx="0">
                    <c:v>Jan</c:v>
                  </c:pt>
                </c:lvl>
              </c:multiLvlStrCache>
            </c:multiLvlStrRef>
          </c:cat>
          <c:val>
            <c:numRef>
              <c:f>'Pivot Report'!$Q$5:$Q$37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263F-4EFC-B3B9-9326776BD62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2071104"/>
        <c:axId val="1932077824"/>
      </c:areaChart>
      <c:catAx>
        <c:axId val="1932071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sz="1200" baseline="0"/>
                  <a:t>Use an area chart to show trends , spots drop in satisfaction and link them to busy times and challenges.</a:t>
                </a:r>
                <a:r>
                  <a:rPr lang="en-IN" baseline="0"/>
                  <a:t> </a:t>
                </a:r>
                <a:endParaRPr lang="en-IN"/>
              </a:p>
            </c:rich>
          </c:tx>
          <c:layout>
            <c:manualLayout>
              <c:xMode val="edge"/>
              <c:yMode val="edge"/>
              <c:x val="0.10232913385826772"/>
              <c:y val="0.84311849688822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2077824"/>
        <c:crosses val="autoZero"/>
        <c:auto val="1"/>
        <c:lblAlgn val="ctr"/>
        <c:lblOffset val="100"/>
        <c:noMultiLvlLbl val="0"/>
      </c:catAx>
      <c:valAx>
        <c:axId val="1932077824"/>
        <c:scaling>
          <c:orientation val="minMax"/>
        </c:scaling>
        <c:delete val="1"/>
        <c:axPos val="l"/>
        <c:numFmt formatCode="0.00" sourceLinked="1"/>
        <c:majorTickMark val="out"/>
        <c:minorTickMark val="none"/>
        <c:tickLblPos val="nextTo"/>
        <c:crossAx val="19320711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ei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47626</xdr:colOff>
      <xdr:row>17</xdr:row>
      <xdr:rowOff>114299</xdr:rowOff>
    </xdr:from>
    <xdr:to>
      <xdr:col>5</xdr:col>
      <xdr:colOff>95250</xdr:colOff>
      <xdr:row>21</xdr:row>
      <xdr:rowOff>114300</xdr:rowOff>
    </xdr:to>
    <xdr:graphicFrame macro="">
      <xdr:nvGraphicFramePr>
        <xdr:cNvPr id="2" name="Chart 1">
          <a:extLst>
            <a:ext uri="{FF2B5EF4-FFF2-40B4-BE49-F238E27FC236}">
              <a16:creationId xmlns:a16="http://schemas.microsoft.com/office/drawing/2014/main" id="{8B66F7F2-275F-BBDE-13F5-C846B4B12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95251</xdr:colOff>
      <xdr:row>0</xdr:row>
      <xdr:rowOff>38100</xdr:rowOff>
    </xdr:from>
    <xdr:to>
      <xdr:col>5</xdr:col>
      <xdr:colOff>212481</xdr:colOff>
      <xdr:row>3</xdr:row>
      <xdr:rowOff>14654</xdr:rowOff>
    </xdr:to>
    <xdr:sp macro="" textlink="">
      <xdr:nvSpPr>
        <xdr:cNvPr id="2" name="Rectangle: Rounded Corners 1">
          <a:extLst>
            <a:ext uri="{FF2B5EF4-FFF2-40B4-BE49-F238E27FC236}">
              <a16:creationId xmlns:a16="http://schemas.microsoft.com/office/drawing/2014/main" id="{A2C13FE9-B66E-E2DD-E054-8271E3598B6A}"/>
            </a:ext>
          </a:extLst>
        </xdr:cNvPr>
        <xdr:cNvSpPr/>
      </xdr:nvSpPr>
      <xdr:spPr>
        <a:xfrm>
          <a:off x="95251" y="38100"/>
          <a:ext cx="3157903" cy="54805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311394</xdr:colOff>
      <xdr:row>0</xdr:row>
      <xdr:rowOff>38099</xdr:rowOff>
    </xdr:from>
    <xdr:to>
      <xdr:col>7</xdr:col>
      <xdr:colOff>51289</xdr:colOff>
      <xdr:row>3</xdr:row>
      <xdr:rowOff>0</xdr:rowOff>
    </xdr:to>
    <xdr:sp macro="" textlink="">
      <xdr:nvSpPr>
        <xdr:cNvPr id="3" name="Rectangle: Rounded Corners 2">
          <a:extLst>
            <a:ext uri="{FF2B5EF4-FFF2-40B4-BE49-F238E27FC236}">
              <a16:creationId xmlns:a16="http://schemas.microsoft.com/office/drawing/2014/main" id="{02F387BC-8CBC-4CF2-B001-09DF53CFF6EA}"/>
            </a:ext>
          </a:extLst>
        </xdr:cNvPr>
        <xdr:cNvSpPr/>
      </xdr:nvSpPr>
      <xdr:spPr>
        <a:xfrm>
          <a:off x="3352067" y="38099"/>
          <a:ext cx="956164" cy="5334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95981</xdr:colOff>
      <xdr:row>0</xdr:row>
      <xdr:rowOff>44694</xdr:rowOff>
    </xdr:from>
    <xdr:to>
      <xdr:col>9</xdr:col>
      <xdr:colOff>219806</xdr:colOff>
      <xdr:row>6</xdr:row>
      <xdr:rowOff>102578</xdr:rowOff>
    </xdr:to>
    <xdr:sp macro="" textlink="">
      <xdr:nvSpPr>
        <xdr:cNvPr id="4" name="Rectangle: Rounded Corners 3">
          <a:extLst>
            <a:ext uri="{FF2B5EF4-FFF2-40B4-BE49-F238E27FC236}">
              <a16:creationId xmlns:a16="http://schemas.microsoft.com/office/drawing/2014/main" id="{D0C876CD-4832-47B6-BA09-93DEF6F1C58A}"/>
            </a:ext>
          </a:extLst>
        </xdr:cNvPr>
        <xdr:cNvSpPr/>
      </xdr:nvSpPr>
      <xdr:spPr>
        <a:xfrm>
          <a:off x="4352923" y="44694"/>
          <a:ext cx="1340095" cy="12008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295274</xdr:colOff>
      <xdr:row>0</xdr:row>
      <xdr:rowOff>66675</xdr:rowOff>
    </xdr:from>
    <xdr:to>
      <xdr:col>11</xdr:col>
      <xdr:colOff>428623</xdr:colOff>
      <xdr:row>6</xdr:row>
      <xdr:rowOff>102577</xdr:rowOff>
    </xdr:to>
    <xdr:sp macro="" textlink="">
      <xdr:nvSpPr>
        <xdr:cNvPr id="5" name="Rectangle: Rounded Corners 4">
          <a:extLst>
            <a:ext uri="{FF2B5EF4-FFF2-40B4-BE49-F238E27FC236}">
              <a16:creationId xmlns:a16="http://schemas.microsoft.com/office/drawing/2014/main" id="{B91C5CF5-277E-4E0C-B4EE-6DBB1B032E4C}"/>
            </a:ext>
          </a:extLst>
        </xdr:cNvPr>
        <xdr:cNvSpPr/>
      </xdr:nvSpPr>
      <xdr:spPr>
        <a:xfrm>
          <a:off x="5768486" y="66675"/>
          <a:ext cx="1349618" cy="117890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114301</xdr:colOff>
      <xdr:row>3</xdr:row>
      <xdr:rowOff>66675</xdr:rowOff>
    </xdr:from>
    <xdr:to>
      <xdr:col>1</xdr:col>
      <xdr:colOff>190501</xdr:colOff>
      <xdr:row>15</xdr:row>
      <xdr:rowOff>146538</xdr:rowOff>
    </xdr:to>
    <xdr:sp macro="" textlink="">
      <xdr:nvSpPr>
        <xdr:cNvPr id="6" name="Rectangle: Rounded Corners 5">
          <a:extLst>
            <a:ext uri="{FF2B5EF4-FFF2-40B4-BE49-F238E27FC236}">
              <a16:creationId xmlns:a16="http://schemas.microsoft.com/office/drawing/2014/main" id="{C4097950-16DE-4A32-9224-3F5C7909DE66}"/>
            </a:ext>
          </a:extLst>
        </xdr:cNvPr>
        <xdr:cNvSpPr/>
      </xdr:nvSpPr>
      <xdr:spPr>
        <a:xfrm>
          <a:off x="114301" y="638175"/>
          <a:ext cx="684335" cy="236586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224937</xdr:colOff>
      <xdr:row>3</xdr:row>
      <xdr:rowOff>107705</xdr:rowOff>
    </xdr:from>
    <xdr:to>
      <xdr:col>7</xdr:col>
      <xdr:colOff>58616</xdr:colOff>
      <xdr:row>7</xdr:row>
      <xdr:rowOff>117230</xdr:rowOff>
    </xdr:to>
    <xdr:grpSp>
      <xdr:nvGrpSpPr>
        <xdr:cNvPr id="10" name="Group 9">
          <a:extLst>
            <a:ext uri="{FF2B5EF4-FFF2-40B4-BE49-F238E27FC236}">
              <a16:creationId xmlns:a16="http://schemas.microsoft.com/office/drawing/2014/main" id="{F2158E2E-6BD3-C857-C903-FC2B76889DD5}"/>
            </a:ext>
          </a:extLst>
        </xdr:cNvPr>
        <xdr:cNvGrpSpPr/>
      </xdr:nvGrpSpPr>
      <xdr:grpSpPr>
        <a:xfrm>
          <a:off x="835221" y="672361"/>
          <a:ext cx="3495386" cy="762399"/>
          <a:chOff x="887413" y="657225"/>
          <a:chExt cx="2960687" cy="771525"/>
        </a:xfrm>
      </xdr:grpSpPr>
      <xdr:sp macro="" textlink="">
        <xdr:nvSpPr>
          <xdr:cNvPr id="7" name="Rectangle: Rounded Corners 6">
            <a:extLst>
              <a:ext uri="{FF2B5EF4-FFF2-40B4-BE49-F238E27FC236}">
                <a16:creationId xmlns:a16="http://schemas.microsoft.com/office/drawing/2014/main" id="{9387CE87-DF96-4A12-9BCC-46D1B5EF40FA}"/>
              </a:ext>
            </a:extLst>
          </xdr:cNvPr>
          <xdr:cNvSpPr/>
        </xdr:nvSpPr>
        <xdr:spPr>
          <a:xfrm>
            <a:off x="887413" y="666750"/>
            <a:ext cx="906462" cy="76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C9B93A8-593A-4BED-9EE1-59EF5778A91F}"/>
              </a:ext>
            </a:extLst>
          </xdr:cNvPr>
          <xdr:cNvSpPr/>
        </xdr:nvSpPr>
        <xdr:spPr>
          <a:xfrm>
            <a:off x="1890713" y="657225"/>
            <a:ext cx="906462" cy="76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20759CC-2BCF-4BA1-9669-774302A603A8}"/>
              </a:ext>
            </a:extLst>
          </xdr:cNvPr>
          <xdr:cNvSpPr/>
        </xdr:nvSpPr>
        <xdr:spPr>
          <a:xfrm>
            <a:off x="2940050" y="657225"/>
            <a:ext cx="908050" cy="76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285750</xdr:colOff>
      <xdr:row>10</xdr:row>
      <xdr:rowOff>159361</xdr:rowOff>
    </xdr:from>
    <xdr:to>
      <xdr:col>7</xdr:col>
      <xdr:colOff>30528</xdr:colOff>
      <xdr:row>15</xdr:row>
      <xdr:rowOff>131885</xdr:rowOff>
    </xdr:to>
    <xdr:sp macro="" textlink="">
      <xdr:nvSpPr>
        <xdr:cNvPr id="11" name="Rectangle: Rounded Corners 10">
          <a:extLst>
            <a:ext uri="{FF2B5EF4-FFF2-40B4-BE49-F238E27FC236}">
              <a16:creationId xmlns:a16="http://schemas.microsoft.com/office/drawing/2014/main" id="{61420CFA-8B75-44C1-AFA7-6104CF6507F2}"/>
            </a:ext>
          </a:extLst>
        </xdr:cNvPr>
        <xdr:cNvSpPr/>
      </xdr:nvSpPr>
      <xdr:spPr>
        <a:xfrm>
          <a:off x="893885" y="2064361"/>
          <a:ext cx="3393585" cy="9250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269874</xdr:colOff>
      <xdr:row>7</xdr:row>
      <xdr:rowOff>181952</xdr:rowOff>
    </xdr:from>
    <xdr:to>
      <xdr:col>7</xdr:col>
      <xdr:colOff>7937</xdr:colOff>
      <xdr:row>10</xdr:row>
      <xdr:rowOff>102577</xdr:rowOff>
    </xdr:to>
    <xdr:sp macro="" textlink="">
      <xdr:nvSpPr>
        <xdr:cNvPr id="12" name="Rectangle: Rounded Corners 11">
          <a:extLst>
            <a:ext uri="{FF2B5EF4-FFF2-40B4-BE49-F238E27FC236}">
              <a16:creationId xmlns:a16="http://schemas.microsoft.com/office/drawing/2014/main" id="{E929035D-EF94-427A-9070-4EA9FC804D78}"/>
            </a:ext>
          </a:extLst>
        </xdr:cNvPr>
        <xdr:cNvSpPr/>
      </xdr:nvSpPr>
      <xdr:spPr>
        <a:xfrm>
          <a:off x="878009" y="1515452"/>
          <a:ext cx="3386870" cy="4921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absolute">
    <xdr:from>
      <xdr:col>7</xdr:col>
      <xdr:colOff>87923</xdr:colOff>
      <xdr:row>6</xdr:row>
      <xdr:rowOff>175846</xdr:rowOff>
    </xdr:from>
    <xdr:to>
      <xdr:col>11</xdr:col>
      <xdr:colOff>439615</xdr:colOff>
      <xdr:row>15</xdr:row>
      <xdr:rowOff>109903</xdr:rowOff>
    </xdr:to>
    <xdr:sp macro="" textlink="">
      <xdr:nvSpPr>
        <xdr:cNvPr id="13" name="Rectangle: Rounded Corners 12">
          <a:extLst>
            <a:ext uri="{FF2B5EF4-FFF2-40B4-BE49-F238E27FC236}">
              <a16:creationId xmlns:a16="http://schemas.microsoft.com/office/drawing/2014/main" id="{F58C0E46-7E15-46C6-A9A5-1DBDA73D07A8}"/>
            </a:ext>
          </a:extLst>
        </xdr:cNvPr>
        <xdr:cNvSpPr/>
      </xdr:nvSpPr>
      <xdr:spPr>
        <a:xfrm>
          <a:off x="4344865" y="1318846"/>
          <a:ext cx="2784231" cy="16485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102576</xdr:colOff>
      <xdr:row>1</xdr:row>
      <xdr:rowOff>21980</xdr:rowOff>
    </xdr:from>
    <xdr:to>
      <xdr:col>5</xdr:col>
      <xdr:colOff>402980</xdr:colOff>
      <xdr:row>2</xdr:row>
      <xdr:rowOff>43961</xdr:rowOff>
    </xdr:to>
    <xdr:sp macro="" textlink="">
      <xdr:nvSpPr>
        <xdr:cNvPr id="14" name="TextBox 13">
          <a:extLst>
            <a:ext uri="{FF2B5EF4-FFF2-40B4-BE49-F238E27FC236}">
              <a16:creationId xmlns:a16="http://schemas.microsoft.com/office/drawing/2014/main" id="{50C02069-D037-91A8-F8C7-432933D01996}"/>
            </a:ext>
          </a:extLst>
        </xdr:cNvPr>
        <xdr:cNvSpPr txBox="1"/>
      </xdr:nvSpPr>
      <xdr:spPr>
        <a:xfrm>
          <a:off x="710711" y="212480"/>
          <a:ext cx="2732942" cy="212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a:t>
          </a:r>
          <a:r>
            <a:rPr lang="en-IN" sz="1100" baseline="0"/>
            <a:t> EMERGENCY ROOM DASHBOARD</a:t>
          </a:r>
          <a:endParaRPr lang="en-IN" sz="1100"/>
        </a:p>
      </xdr:txBody>
    </xdr:sp>
    <xdr:clientData/>
  </xdr:twoCellAnchor>
  <xdr:twoCellAnchor editAs="oneCell">
    <xdr:from>
      <xdr:col>0</xdr:col>
      <xdr:colOff>0</xdr:colOff>
      <xdr:row>0</xdr:row>
      <xdr:rowOff>51289</xdr:rowOff>
    </xdr:from>
    <xdr:to>
      <xdr:col>1</xdr:col>
      <xdr:colOff>256442</xdr:colOff>
      <xdr:row>2</xdr:row>
      <xdr:rowOff>150323</xdr:rowOff>
    </xdr:to>
    <xdr:pic>
      <xdr:nvPicPr>
        <xdr:cNvPr id="16" name="Picture 15">
          <a:extLst>
            <a:ext uri="{FF2B5EF4-FFF2-40B4-BE49-F238E27FC236}">
              <a16:creationId xmlns:a16="http://schemas.microsoft.com/office/drawing/2014/main" id="{F147B48F-25C6-622B-33A2-4E5914B1C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1289"/>
          <a:ext cx="864577" cy="480034"/>
        </a:xfrm>
        <a:prstGeom prst="rect">
          <a:avLst/>
        </a:prstGeom>
      </xdr:spPr>
    </xdr:pic>
    <xdr:clientData/>
  </xdr:twoCellAnchor>
  <xdr:twoCellAnchor>
    <xdr:from>
      <xdr:col>1</xdr:col>
      <xdr:colOff>430822</xdr:colOff>
      <xdr:row>5</xdr:row>
      <xdr:rowOff>20515</xdr:rowOff>
    </xdr:from>
    <xdr:to>
      <xdr:col>3</xdr:col>
      <xdr:colOff>315057</xdr:colOff>
      <xdr:row>6</xdr:row>
      <xdr:rowOff>43962</xdr:rowOff>
    </xdr:to>
    <xdr:sp macro="" textlink="">
      <xdr:nvSpPr>
        <xdr:cNvPr id="17" name="TextBox 16">
          <a:extLst>
            <a:ext uri="{FF2B5EF4-FFF2-40B4-BE49-F238E27FC236}">
              <a16:creationId xmlns:a16="http://schemas.microsoft.com/office/drawing/2014/main" id="{5766EE3D-D566-4190-987F-6AE71690260D}"/>
            </a:ext>
          </a:extLst>
        </xdr:cNvPr>
        <xdr:cNvSpPr txBox="1"/>
      </xdr:nvSpPr>
      <xdr:spPr>
        <a:xfrm>
          <a:off x="1038957" y="973015"/>
          <a:ext cx="1100504" cy="213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No.</a:t>
          </a:r>
          <a:r>
            <a:rPr lang="en-IN" sz="800" baseline="0"/>
            <a:t> of Patients</a:t>
          </a:r>
          <a:endParaRPr lang="en-IN" sz="800"/>
        </a:p>
      </xdr:txBody>
    </xdr:sp>
    <xdr:clientData/>
  </xdr:twoCellAnchor>
  <xdr:twoCellAnchor>
    <xdr:from>
      <xdr:col>1</xdr:col>
      <xdr:colOff>591283</xdr:colOff>
      <xdr:row>4</xdr:row>
      <xdr:rowOff>5129</xdr:rowOff>
    </xdr:from>
    <xdr:to>
      <xdr:col>3</xdr:col>
      <xdr:colOff>131885</xdr:colOff>
      <xdr:row>5</xdr:row>
      <xdr:rowOff>7327</xdr:rowOff>
    </xdr:to>
    <xdr:sp macro="" textlink="'Pivot Report'!A5">
      <xdr:nvSpPr>
        <xdr:cNvPr id="18" name="TextBox 17">
          <a:extLst>
            <a:ext uri="{FF2B5EF4-FFF2-40B4-BE49-F238E27FC236}">
              <a16:creationId xmlns:a16="http://schemas.microsoft.com/office/drawing/2014/main" id="{2182AC63-A622-4E7F-B610-60554EF4F0C9}"/>
            </a:ext>
          </a:extLst>
        </xdr:cNvPr>
        <xdr:cNvSpPr txBox="1"/>
      </xdr:nvSpPr>
      <xdr:spPr>
        <a:xfrm>
          <a:off x="1199418" y="767129"/>
          <a:ext cx="756871"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AA347C7-45AD-45C6-BB8A-9068DBBE368F}" type="TxLink">
            <a:rPr lang="en-US" sz="1100" b="0" i="0" u="none" strike="noStrike">
              <a:solidFill>
                <a:srgbClr val="000000"/>
              </a:solidFill>
              <a:latin typeface="Aptos Narrow"/>
            </a:rPr>
            <a:pPr/>
            <a:t>513</a:t>
          </a:fld>
          <a:endParaRPr lang="en-IN" sz="1100"/>
        </a:p>
      </xdr:txBody>
    </xdr:sp>
    <xdr:clientData/>
  </xdr:twoCellAnchor>
  <xdr:twoCellAnchor>
    <xdr:from>
      <xdr:col>3</xdr:col>
      <xdr:colOff>349493</xdr:colOff>
      <xdr:row>5</xdr:row>
      <xdr:rowOff>12456</xdr:rowOff>
    </xdr:from>
    <xdr:to>
      <xdr:col>5</xdr:col>
      <xdr:colOff>183172</xdr:colOff>
      <xdr:row>6</xdr:row>
      <xdr:rowOff>43961</xdr:rowOff>
    </xdr:to>
    <xdr:sp macro="" textlink="">
      <xdr:nvSpPr>
        <xdr:cNvPr id="19" name="TextBox 18">
          <a:extLst>
            <a:ext uri="{FF2B5EF4-FFF2-40B4-BE49-F238E27FC236}">
              <a16:creationId xmlns:a16="http://schemas.microsoft.com/office/drawing/2014/main" id="{8C0E71C1-8221-4FCE-B069-45267E531FC2}"/>
            </a:ext>
          </a:extLst>
        </xdr:cNvPr>
        <xdr:cNvSpPr txBox="1"/>
      </xdr:nvSpPr>
      <xdr:spPr>
        <a:xfrm>
          <a:off x="2173897" y="964956"/>
          <a:ext cx="1049948" cy="22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Average</a:t>
          </a:r>
          <a:r>
            <a:rPr lang="en-IN" sz="800" baseline="0"/>
            <a:t> Wait Time</a:t>
          </a:r>
          <a:endParaRPr lang="en-IN" sz="1100"/>
        </a:p>
      </xdr:txBody>
    </xdr:sp>
    <xdr:clientData/>
  </xdr:twoCellAnchor>
  <xdr:twoCellAnchor>
    <xdr:from>
      <xdr:col>5</xdr:col>
      <xdr:colOff>219808</xdr:colOff>
      <xdr:row>5</xdr:row>
      <xdr:rowOff>3664</xdr:rowOff>
    </xdr:from>
    <xdr:to>
      <xdr:col>7</xdr:col>
      <xdr:colOff>217610</xdr:colOff>
      <xdr:row>6</xdr:row>
      <xdr:rowOff>27111</xdr:rowOff>
    </xdr:to>
    <xdr:sp macro="" textlink="">
      <xdr:nvSpPr>
        <xdr:cNvPr id="20" name="TextBox 19">
          <a:extLst>
            <a:ext uri="{FF2B5EF4-FFF2-40B4-BE49-F238E27FC236}">
              <a16:creationId xmlns:a16="http://schemas.microsoft.com/office/drawing/2014/main" id="{2DC09690-ED1D-4862-83C8-D0536F242A2F}"/>
            </a:ext>
          </a:extLst>
        </xdr:cNvPr>
        <xdr:cNvSpPr txBox="1"/>
      </xdr:nvSpPr>
      <xdr:spPr>
        <a:xfrm>
          <a:off x="3260481" y="956164"/>
          <a:ext cx="1214071" cy="213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Patient</a:t>
          </a:r>
          <a:r>
            <a:rPr lang="en-IN" sz="800" baseline="0"/>
            <a:t> Satisfaction Score</a:t>
          </a:r>
          <a:endParaRPr lang="en-IN" sz="800"/>
        </a:p>
      </xdr:txBody>
    </xdr:sp>
    <xdr:clientData/>
  </xdr:twoCellAnchor>
  <xdr:twoCellAnchor>
    <xdr:from>
      <xdr:col>5</xdr:col>
      <xdr:colOff>591284</xdr:colOff>
      <xdr:row>3</xdr:row>
      <xdr:rowOff>158994</xdr:rowOff>
    </xdr:from>
    <xdr:to>
      <xdr:col>7</xdr:col>
      <xdr:colOff>131886</xdr:colOff>
      <xdr:row>4</xdr:row>
      <xdr:rowOff>161192</xdr:rowOff>
    </xdr:to>
    <xdr:sp macro="" textlink="'Pivot Report'!H28">
      <xdr:nvSpPr>
        <xdr:cNvPr id="21" name="TextBox 20">
          <a:extLst>
            <a:ext uri="{FF2B5EF4-FFF2-40B4-BE49-F238E27FC236}">
              <a16:creationId xmlns:a16="http://schemas.microsoft.com/office/drawing/2014/main" id="{C4B08EEE-C46E-49D5-A7B6-B8E16383B774}"/>
            </a:ext>
          </a:extLst>
        </xdr:cNvPr>
        <xdr:cNvSpPr txBox="1"/>
      </xdr:nvSpPr>
      <xdr:spPr>
        <a:xfrm>
          <a:off x="3631957" y="730494"/>
          <a:ext cx="756871"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ECCE09E-CBDD-4956-A664-35056AB4C261}" type="TxLink">
            <a:rPr lang="en-US" sz="1100" b="0" i="0" u="none" strike="noStrike">
              <a:solidFill>
                <a:srgbClr val="000000"/>
              </a:solidFill>
              <a:latin typeface="Aptos Narrow"/>
            </a:rPr>
            <a:pPr/>
            <a:t> </a:t>
          </a:fld>
          <a:endParaRPr lang="en-IN" sz="1100"/>
        </a:p>
      </xdr:txBody>
    </xdr:sp>
    <xdr:clientData/>
  </xdr:twoCellAnchor>
  <xdr:twoCellAnchor>
    <xdr:from>
      <xdr:col>3</xdr:col>
      <xdr:colOff>575165</xdr:colOff>
      <xdr:row>3</xdr:row>
      <xdr:rowOff>186835</xdr:rowOff>
    </xdr:from>
    <xdr:to>
      <xdr:col>5</xdr:col>
      <xdr:colOff>115767</xdr:colOff>
      <xdr:row>4</xdr:row>
      <xdr:rowOff>189033</xdr:rowOff>
    </xdr:to>
    <xdr:sp macro="" textlink="'Pivot Report'!A9">
      <xdr:nvSpPr>
        <xdr:cNvPr id="22" name="TextBox 21">
          <a:extLst>
            <a:ext uri="{FF2B5EF4-FFF2-40B4-BE49-F238E27FC236}">
              <a16:creationId xmlns:a16="http://schemas.microsoft.com/office/drawing/2014/main" id="{263A9B56-2B71-490B-8EE1-6DB58895F235}"/>
            </a:ext>
          </a:extLst>
        </xdr:cNvPr>
        <xdr:cNvSpPr txBox="1"/>
      </xdr:nvSpPr>
      <xdr:spPr>
        <a:xfrm>
          <a:off x="2399569" y="758335"/>
          <a:ext cx="756871"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849AA58-0263-42F0-A84A-9CED43B1D775}" type="TxLink">
            <a:rPr lang="en-US" sz="1100" b="0" i="0" u="none" strike="noStrike">
              <a:solidFill>
                <a:srgbClr val="000000"/>
              </a:solidFill>
              <a:latin typeface="Aptos Narrow"/>
            </a:rPr>
            <a:pPr/>
            <a:t>36.32</a:t>
          </a:fld>
          <a:endParaRPr lang="en-IN" sz="1100"/>
        </a:p>
      </xdr:txBody>
    </xdr:sp>
    <xdr:clientData/>
  </xdr:twoCellAnchor>
  <xdr:twoCellAnchor>
    <xdr:from>
      <xdr:col>2</xdr:col>
      <xdr:colOff>124557</xdr:colOff>
      <xdr:row>1</xdr:row>
      <xdr:rowOff>190499</xdr:rowOff>
    </xdr:from>
    <xdr:to>
      <xdr:col>3</xdr:col>
      <xdr:colOff>542192</xdr:colOff>
      <xdr:row>3</xdr:row>
      <xdr:rowOff>2197</xdr:rowOff>
    </xdr:to>
    <xdr:sp macro="" textlink="'Pivot Report'!A5">
      <xdr:nvSpPr>
        <xdr:cNvPr id="23" name="TextBox 22">
          <a:extLst>
            <a:ext uri="{FF2B5EF4-FFF2-40B4-BE49-F238E27FC236}">
              <a16:creationId xmlns:a16="http://schemas.microsoft.com/office/drawing/2014/main" id="{8EAEA7BA-D535-4221-996D-7037FB660BE2}"/>
            </a:ext>
          </a:extLst>
        </xdr:cNvPr>
        <xdr:cNvSpPr txBox="1"/>
      </xdr:nvSpPr>
      <xdr:spPr>
        <a:xfrm>
          <a:off x="1340826" y="380999"/>
          <a:ext cx="1025770"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Monthly</a:t>
          </a:r>
          <a:r>
            <a:rPr lang="en-IN" sz="1100" baseline="0"/>
            <a:t> Report</a:t>
          </a:r>
          <a:endParaRPr lang="en-IN" sz="1100"/>
        </a:p>
      </xdr:txBody>
    </xdr:sp>
    <xdr:clientData/>
  </xdr:twoCellAnchor>
  <xdr:twoCellAnchor editAs="oneCell">
    <xdr:from>
      <xdr:col>2</xdr:col>
      <xdr:colOff>315059</xdr:colOff>
      <xdr:row>3</xdr:row>
      <xdr:rowOff>124559</xdr:rowOff>
    </xdr:from>
    <xdr:to>
      <xdr:col>3</xdr:col>
      <xdr:colOff>7328</xdr:colOff>
      <xdr:row>5</xdr:row>
      <xdr:rowOff>43963</xdr:rowOff>
    </xdr:to>
    <xdr:pic>
      <xdr:nvPicPr>
        <xdr:cNvPr id="25" name="Graphic 24" descr="User with solid fill">
          <a:extLst>
            <a:ext uri="{FF2B5EF4-FFF2-40B4-BE49-F238E27FC236}">
              <a16:creationId xmlns:a16="http://schemas.microsoft.com/office/drawing/2014/main" id="{1D1F7203-3AA1-1AD5-BF97-A1085682F38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31328" y="696059"/>
          <a:ext cx="300404" cy="300404"/>
        </a:xfrm>
        <a:prstGeom prst="rect">
          <a:avLst/>
        </a:prstGeom>
      </xdr:spPr>
    </xdr:pic>
    <xdr:clientData/>
  </xdr:twoCellAnchor>
  <xdr:twoCellAnchor editAs="oneCell">
    <xdr:from>
      <xdr:col>4</xdr:col>
      <xdr:colOff>329712</xdr:colOff>
      <xdr:row>3</xdr:row>
      <xdr:rowOff>153865</xdr:rowOff>
    </xdr:from>
    <xdr:to>
      <xdr:col>4</xdr:col>
      <xdr:colOff>578828</xdr:colOff>
      <xdr:row>5</xdr:row>
      <xdr:rowOff>21981</xdr:rowOff>
    </xdr:to>
    <xdr:pic>
      <xdr:nvPicPr>
        <xdr:cNvPr id="27" name="Graphic 26" descr="Hourglass Full with solid fill">
          <a:extLst>
            <a:ext uri="{FF2B5EF4-FFF2-40B4-BE49-F238E27FC236}">
              <a16:creationId xmlns:a16="http://schemas.microsoft.com/office/drawing/2014/main" id="{AC98DAC5-3191-5657-B12B-9488E6FB1CC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62250" y="725365"/>
          <a:ext cx="249116" cy="249116"/>
        </a:xfrm>
        <a:prstGeom prst="rect">
          <a:avLst/>
        </a:prstGeom>
      </xdr:spPr>
    </xdr:pic>
    <xdr:clientData/>
  </xdr:twoCellAnchor>
  <xdr:twoCellAnchor editAs="oneCell">
    <xdr:from>
      <xdr:col>6</xdr:col>
      <xdr:colOff>285750</xdr:colOff>
      <xdr:row>3</xdr:row>
      <xdr:rowOff>117230</xdr:rowOff>
    </xdr:from>
    <xdr:to>
      <xdr:col>6</xdr:col>
      <xdr:colOff>586154</xdr:colOff>
      <xdr:row>5</xdr:row>
      <xdr:rowOff>36634</xdr:rowOff>
    </xdr:to>
    <xdr:pic>
      <xdr:nvPicPr>
        <xdr:cNvPr id="31" name="Graphic 30" descr="Rating with solid fill">
          <a:extLst>
            <a:ext uri="{FF2B5EF4-FFF2-40B4-BE49-F238E27FC236}">
              <a16:creationId xmlns:a16="http://schemas.microsoft.com/office/drawing/2014/main" id="{7BF7347C-BFA0-23A7-D24B-EF9C91A1EB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34558" y="688730"/>
          <a:ext cx="300404" cy="300404"/>
        </a:xfrm>
        <a:prstGeom prst="rect">
          <a:avLst/>
        </a:prstGeom>
      </xdr:spPr>
    </xdr:pic>
    <xdr:clientData/>
  </xdr:twoCellAnchor>
  <xdr:twoCellAnchor editAs="oneCell">
    <xdr:from>
      <xdr:col>0</xdr:col>
      <xdr:colOff>139213</xdr:colOff>
      <xdr:row>3</xdr:row>
      <xdr:rowOff>117230</xdr:rowOff>
    </xdr:from>
    <xdr:to>
      <xdr:col>1</xdr:col>
      <xdr:colOff>170528</xdr:colOff>
      <xdr:row>15</xdr:row>
      <xdr:rowOff>124559</xdr:rowOff>
    </xdr:to>
    <mc:AlternateContent xmlns:mc="http://schemas.openxmlformats.org/markup-compatibility/2006" xmlns:a14="http://schemas.microsoft.com/office/drawing/2010/main">
      <mc:Choice Requires="a14">
        <xdr:graphicFrame macro="">
          <xdr:nvGraphicFramePr>
            <xdr:cNvPr id="32" name="Date (Month)">
              <a:extLst>
                <a:ext uri="{FF2B5EF4-FFF2-40B4-BE49-F238E27FC236}">
                  <a16:creationId xmlns:a16="http://schemas.microsoft.com/office/drawing/2014/main" id="{3801A0DC-AF8E-4AC4-8F2E-21A9C852288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9213" y="688730"/>
              <a:ext cx="639450" cy="2293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437418</xdr:colOff>
      <xdr:row>3</xdr:row>
      <xdr:rowOff>166321</xdr:rowOff>
    </xdr:from>
    <xdr:to>
      <xdr:col>6</xdr:col>
      <xdr:colOff>586154</xdr:colOff>
      <xdr:row>4</xdr:row>
      <xdr:rowOff>168519</xdr:rowOff>
    </xdr:to>
    <xdr:sp macro="" textlink="'Pivot Report'!A12">
      <xdr:nvSpPr>
        <xdr:cNvPr id="33" name="TextBox 32">
          <a:extLst>
            <a:ext uri="{FF2B5EF4-FFF2-40B4-BE49-F238E27FC236}">
              <a16:creationId xmlns:a16="http://schemas.microsoft.com/office/drawing/2014/main" id="{FB6A10F7-C224-4170-A31A-2BF21F5C15D2}"/>
            </a:ext>
          </a:extLst>
        </xdr:cNvPr>
        <xdr:cNvSpPr txBox="1"/>
      </xdr:nvSpPr>
      <xdr:spPr>
        <a:xfrm>
          <a:off x="3478091" y="737821"/>
          <a:ext cx="756871"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28524B7-E31A-4D80-BD60-8828DA099CDD}" type="TxLink">
            <a:rPr lang="en-US" sz="1100" b="0" i="0" u="none" strike="noStrike">
              <a:solidFill>
                <a:srgbClr val="000000"/>
              </a:solidFill>
              <a:latin typeface="Aptos Narrow"/>
            </a:rPr>
            <a:pPr/>
            <a:t>4.96</a:t>
          </a:fld>
          <a:endParaRPr lang="en-IN" sz="1100"/>
        </a:p>
      </xdr:txBody>
    </xdr:sp>
    <xdr:clientData/>
  </xdr:twoCellAnchor>
  <xdr:twoCellAnchor>
    <xdr:from>
      <xdr:col>1</xdr:col>
      <xdr:colOff>124560</xdr:colOff>
      <xdr:row>4</xdr:row>
      <xdr:rowOff>131886</xdr:rowOff>
    </xdr:from>
    <xdr:to>
      <xdr:col>3</xdr:col>
      <xdr:colOff>190501</xdr:colOff>
      <xdr:row>8</xdr:row>
      <xdr:rowOff>7328</xdr:rowOff>
    </xdr:to>
    <xdr:graphicFrame macro="">
      <xdr:nvGraphicFramePr>
        <xdr:cNvPr id="15" name="Chart 14">
          <a:hlinkClick xmlns:r="http://schemas.openxmlformats.org/officeDocument/2006/relationships" r:id="rId8"/>
          <a:extLst>
            <a:ext uri="{FF2B5EF4-FFF2-40B4-BE49-F238E27FC236}">
              <a16:creationId xmlns:a16="http://schemas.microsoft.com/office/drawing/2014/main" id="{DBF48A15-14D8-4C63-B46D-388BD2353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131885</xdr:colOff>
      <xdr:row>5</xdr:row>
      <xdr:rowOff>36634</xdr:rowOff>
    </xdr:from>
    <xdr:to>
      <xdr:col>5</xdr:col>
      <xdr:colOff>109904</xdr:colOff>
      <xdr:row>7</xdr:row>
      <xdr:rowOff>168520</xdr:rowOff>
    </xdr:to>
    <xdr:graphicFrame macro="">
      <xdr:nvGraphicFramePr>
        <xdr:cNvPr id="24" name="Chart 23">
          <a:hlinkClick xmlns:r="http://schemas.openxmlformats.org/officeDocument/2006/relationships" r:id="rId10"/>
          <a:extLst>
            <a:ext uri="{FF2B5EF4-FFF2-40B4-BE49-F238E27FC236}">
              <a16:creationId xmlns:a16="http://schemas.microsoft.com/office/drawing/2014/main" id="{9779AC78-2004-49A2-A134-EB5C65918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131885</xdr:colOff>
      <xdr:row>5</xdr:row>
      <xdr:rowOff>43960</xdr:rowOff>
    </xdr:from>
    <xdr:to>
      <xdr:col>7</xdr:col>
      <xdr:colOff>139212</xdr:colOff>
      <xdr:row>7</xdr:row>
      <xdr:rowOff>153865</xdr:rowOff>
    </xdr:to>
    <xdr:graphicFrame macro="">
      <xdr:nvGraphicFramePr>
        <xdr:cNvPr id="26" name="Chart 25">
          <a:hlinkClick xmlns:r="http://schemas.openxmlformats.org/officeDocument/2006/relationships" r:id="rId12"/>
          <a:extLst>
            <a:ext uri="{FF2B5EF4-FFF2-40B4-BE49-F238E27FC236}">
              <a16:creationId xmlns:a16="http://schemas.microsoft.com/office/drawing/2014/main" id="{7BA3BA92-F10F-4134-B4A7-3DD34E47F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307732</xdr:colOff>
          <xdr:row>8</xdr:row>
          <xdr:rowOff>14655</xdr:rowOff>
        </xdr:from>
        <xdr:to>
          <xdr:col>6</xdr:col>
          <xdr:colOff>581556</xdr:colOff>
          <xdr:row>10</xdr:row>
          <xdr:rowOff>87923</xdr:rowOff>
        </xdr:to>
        <xdr:pic>
          <xdr:nvPicPr>
            <xdr:cNvPr id="35" name="Picture 34">
              <a:extLst>
                <a:ext uri="{FF2B5EF4-FFF2-40B4-BE49-F238E27FC236}">
                  <a16:creationId xmlns:a16="http://schemas.microsoft.com/office/drawing/2014/main" id="{B25A5925-7DFF-AA62-C16A-9A1A65EBA592}"/>
                </a:ext>
              </a:extLst>
            </xdr:cNvPr>
            <xdr:cNvPicPr>
              <a:picLocks noChangeAspect="1" noChangeArrowheads="1"/>
              <a:extLst>
                <a:ext uri="{84589F7E-364E-4C9E-8A38-B11213B215E9}">
                  <a14:cameraTool cellRange="'Pivot Report'!$A$19:$E$21" spid="_x0000_s1033"/>
                </a:ext>
              </a:extLst>
            </xdr:cNvPicPr>
          </xdr:nvPicPr>
          <xdr:blipFill>
            <a:blip xmlns:r="http://schemas.openxmlformats.org/officeDocument/2006/relationships" r:embed="rId14"/>
            <a:srcRect/>
            <a:stretch>
              <a:fillRect/>
            </a:stretch>
          </xdr:blipFill>
          <xdr:spPr bwMode="auto">
            <a:xfrm>
              <a:off x="915867" y="1538655"/>
              <a:ext cx="3314497" cy="45426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190500</xdr:colOff>
      <xdr:row>10</xdr:row>
      <xdr:rowOff>87924</xdr:rowOff>
    </xdr:from>
    <xdr:to>
      <xdr:col>7</xdr:col>
      <xdr:colOff>80596</xdr:colOff>
      <xdr:row>16</xdr:row>
      <xdr:rowOff>14654</xdr:rowOff>
    </xdr:to>
    <xdr:graphicFrame macro="">
      <xdr:nvGraphicFramePr>
        <xdr:cNvPr id="36" name="Chart 35">
          <a:extLst>
            <a:ext uri="{FF2B5EF4-FFF2-40B4-BE49-F238E27FC236}">
              <a16:creationId xmlns:a16="http://schemas.microsoft.com/office/drawing/2014/main" id="{1E352A50-BEA9-4F36-8815-FD7BA8627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300402</xdr:colOff>
      <xdr:row>0</xdr:row>
      <xdr:rowOff>0</xdr:rowOff>
    </xdr:from>
    <xdr:to>
      <xdr:col>9</xdr:col>
      <xdr:colOff>578827</xdr:colOff>
      <xdr:row>7</xdr:row>
      <xdr:rowOff>51288</xdr:rowOff>
    </xdr:to>
    <xdr:graphicFrame macro="">
      <xdr:nvGraphicFramePr>
        <xdr:cNvPr id="37" name="Chart 36">
          <a:extLst>
            <a:ext uri="{FF2B5EF4-FFF2-40B4-BE49-F238E27FC236}">
              <a16:creationId xmlns:a16="http://schemas.microsoft.com/office/drawing/2014/main" id="{DE3EFBCC-22CC-4766-8953-4F7320969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183173</xdr:colOff>
      <xdr:row>5</xdr:row>
      <xdr:rowOff>86456</xdr:rowOff>
    </xdr:from>
    <xdr:to>
      <xdr:col>9</xdr:col>
      <xdr:colOff>320918</xdr:colOff>
      <xdr:row>6</xdr:row>
      <xdr:rowOff>88654</xdr:rowOff>
    </xdr:to>
    <xdr:sp macro="" textlink="'Pivot Report'!A5">
      <xdr:nvSpPr>
        <xdr:cNvPr id="38" name="TextBox 37">
          <a:extLst>
            <a:ext uri="{FF2B5EF4-FFF2-40B4-BE49-F238E27FC236}">
              <a16:creationId xmlns:a16="http://schemas.microsoft.com/office/drawing/2014/main" id="{81A43064-080B-42D1-9C95-192568E9013A}"/>
            </a:ext>
          </a:extLst>
        </xdr:cNvPr>
        <xdr:cNvSpPr txBox="1"/>
      </xdr:nvSpPr>
      <xdr:spPr>
        <a:xfrm>
          <a:off x="4440115" y="1038956"/>
          <a:ext cx="1354015"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Patient</a:t>
          </a:r>
          <a:r>
            <a:rPr lang="en-IN" sz="800" baseline="0"/>
            <a:t> Attended within Time</a:t>
          </a:r>
          <a:endParaRPr lang="en-IN" sz="1000"/>
        </a:p>
      </xdr:txBody>
    </xdr:sp>
    <xdr:clientData/>
  </xdr:twoCellAnchor>
  <xdr:twoCellAnchor>
    <xdr:from>
      <xdr:col>9</xdr:col>
      <xdr:colOff>337038</xdr:colOff>
      <xdr:row>0</xdr:row>
      <xdr:rowOff>52022</xdr:rowOff>
    </xdr:from>
    <xdr:to>
      <xdr:col>12</xdr:col>
      <xdr:colOff>271096</xdr:colOff>
      <xdr:row>6</xdr:row>
      <xdr:rowOff>131886</xdr:rowOff>
    </xdr:to>
    <xdr:graphicFrame macro="">
      <xdr:nvGraphicFramePr>
        <xdr:cNvPr id="39" name="Chart 38">
          <a:extLst>
            <a:ext uri="{FF2B5EF4-FFF2-40B4-BE49-F238E27FC236}">
              <a16:creationId xmlns:a16="http://schemas.microsoft.com/office/drawing/2014/main" id="{78FF99F0-BEEA-40C6-AF30-C6AD657B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397851</xdr:colOff>
      <xdr:row>5</xdr:row>
      <xdr:rowOff>81329</xdr:rowOff>
    </xdr:from>
    <xdr:to>
      <xdr:col>11</xdr:col>
      <xdr:colOff>535597</xdr:colOff>
      <xdr:row>6</xdr:row>
      <xdr:rowOff>83527</xdr:rowOff>
    </xdr:to>
    <xdr:sp macro="" textlink="'Pivot Report'!A5">
      <xdr:nvSpPr>
        <xdr:cNvPr id="40" name="TextBox 39">
          <a:extLst>
            <a:ext uri="{FF2B5EF4-FFF2-40B4-BE49-F238E27FC236}">
              <a16:creationId xmlns:a16="http://schemas.microsoft.com/office/drawing/2014/main" id="{4026A4D0-535B-4FF3-AE95-0C90BA8E2E1A}"/>
            </a:ext>
          </a:extLst>
        </xdr:cNvPr>
        <xdr:cNvSpPr txBox="1"/>
      </xdr:nvSpPr>
      <xdr:spPr>
        <a:xfrm>
          <a:off x="5871063" y="1033829"/>
          <a:ext cx="1354015" cy="19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 Gender wise Analysis</a:t>
          </a:r>
          <a:endParaRPr lang="en-IN" sz="1000"/>
        </a:p>
      </xdr:txBody>
    </xdr:sp>
    <xdr:clientData/>
  </xdr:twoCellAnchor>
  <xdr:twoCellAnchor>
    <xdr:from>
      <xdr:col>6</xdr:col>
      <xdr:colOff>234461</xdr:colOff>
      <xdr:row>6</xdr:row>
      <xdr:rowOff>58615</xdr:rowOff>
    </xdr:from>
    <xdr:to>
      <xdr:col>11</xdr:col>
      <xdr:colOff>432289</xdr:colOff>
      <xdr:row>15</xdr:row>
      <xdr:rowOff>73269</xdr:rowOff>
    </xdr:to>
    <xdr:graphicFrame macro="">
      <xdr:nvGraphicFramePr>
        <xdr:cNvPr id="41" name="Chart 40">
          <a:extLst>
            <a:ext uri="{FF2B5EF4-FFF2-40B4-BE49-F238E27FC236}">
              <a16:creationId xmlns:a16="http://schemas.microsoft.com/office/drawing/2014/main" id="{2541C498-FA47-4FB1-B6CB-6F8181DFF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322386</xdr:colOff>
      <xdr:row>0</xdr:row>
      <xdr:rowOff>43962</xdr:rowOff>
    </xdr:from>
    <xdr:to>
      <xdr:col>6</xdr:col>
      <xdr:colOff>605701</xdr:colOff>
      <xdr:row>2</xdr:row>
      <xdr:rowOff>153865</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F34C9CEB-23BD-401F-BB1E-DF1E663C2FC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73808" y="43962"/>
              <a:ext cx="893600" cy="48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0.30317</cdr:x>
      <cdr:y>0.88856</cdr:y>
    </cdr:from>
    <cdr:to>
      <cdr:x>0.9457</cdr:x>
      <cdr:y>1</cdr:y>
    </cdr:to>
    <cdr:sp macro="" textlink="">
      <cdr:nvSpPr>
        <cdr:cNvPr id="2" name="TextBox 39">
          <a:extLst xmlns:a="http://schemas.openxmlformats.org/drawingml/2006/main">
            <a:ext uri="{FF2B5EF4-FFF2-40B4-BE49-F238E27FC236}">
              <a16:creationId xmlns:a16="http://schemas.microsoft.com/office/drawing/2014/main" id="{4026A4D0-535B-4FF3-AE95-0C90BA8E2E1A}"/>
            </a:ext>
          </a:extLst>
        </cdr:cNvPr>
        <cdr:cNvSpPr txBox="1"/>
      </cdr:nvSpPr>
      <cdr:spPr>
        <a:xfrm xmlns:a="http://schemas.openxmlformats.org/drawingml/2006/main">
          <a:off x="981808" y="1536456"/>
          <a:ext cx="2080846" cy="1926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900"/>
            <a:t>No</a:t>
          </a:r>
          <a:r>
            <a:rPr lang="en-IN" sz="900" baseline="0"/>
            <a:t> .of Patients by Department Referal</a:t>
          </a:r>
          <a:endParaRPr lang="en-IN" sz="105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19</xdr:row>
      <xdr:rowOff>123824</xdr:rowOff>
    </xdr:to>
    <xdr:graphicFrame macro="">
      <xdr:nvGraphicFramePr>
        <xdr:cNvPr id="2" name="Chart 1">
          <a:extLst>
            <a:ext uri="{FF2B5EF4-FFF2-40B4-BE49-F238E27FC236}">
              <a16:creationId xmlns:a16="http://schemas.microsoft.com/office/drawing/2014/main" id="{7FC817DE-BFF4-46C6-9CE4-8DBC1389E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66675</xdr:colOff>
      <xdr:row>0</xdr:row>
      <xdr:rowOff>28575</xdr:rowOff>
    </xdr:from>
    <xdr:to>
      <xdr:col>0</xdr:col>
      <xdr:colOff>533400</xdr:colOff>
      <xdr:row>2</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A6DC60E-9228-9245-FF4B-694C7F7818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5" y="28575"/>
          <a:ext cx="466725" cy="466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542924</xdr:colOff>
      <xdr:row>20</xdr:row>
      <xdr:rowOff>9524</xdr:rowOff>
    </xdr:to>
    <xdr:graphicFrame macro="">
      <xdr:nvGraphicFramePr>
        <xdr:cNvPr id="2" name="Chart 1">
          <a:extLst>
            <a:ext uri="{FF2B5EF4-FFF2-40B4-BE49-F238E27FC236}">
              <a16:creationId xmlns:a16="http://schemas.microsoft.com/office/drawing/2014/main" id="{84DAE23B-7317-4F64-AE89-A89E46CD9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0.02308</cdr:x>
      <cdr:y>0.02993</cdr:y>
    </cdr:from>
    <cdr:to>
      <cdr:x>0.0745</cdr:x>
      <cdr:y>0.15212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8A687FF-45B5-2171-91CC-841CAE5E376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09550" y="114300"/>
          <a:ext cx="466725" cy="46672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304800</xdr:colOff>
      <xdr:row>20</xdr:row>
      <xdr:rowOff>180974</xdr:rowOff>
    </xdr:to>
    <xdr:graphicFrame macro="">
      <xdr:nvGraphicFramePr>
        <xdr:cNvPr id="2" name="Chart 1">
          <a:extLst>
            <a:ext uri="{FF2B5EF4-FFF2-40B4-BE49-F238E27FC236}">
              <a16:creationId xmlns:a16="http://schemas.microsoft.com/office/drawing/2014/main" id="{A4C58B59-1D5F-4015-9ED8-F6C51B9FA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133350</xdr:colOff>
      <xdr:row>0</xdr:row>
      <xdr:rowOff>85725</xdr:rowOff>
    </xdr:from>
    <xdr:to>
      <xdr:col>0</xdr:col>
      <xdr:colOff>600106</xdr:colOff>
      <xdr:row>2</xdr:row>
      <xdr:rowOff>171433</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A17FBDE7-CD86-042B-E31E-2EA7DA7E0E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350" y="85725"/>
          <a:ext cx="466756" cy="4667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5717596" createdVersion="5" refreshedVersion="8" minRefreshableVersion="3" recordCount="0" supportSubquery="1" supportAdvancedDrill="1" xr:uid="{1DC067E2-122E-4D4F-B222-B8390DF546AF}">
  <cacheSource type="external" connectionId="3"/>
  <cacheFields count="2">
    <cacheField name="[Calender_table].[Date (Month)].[Date (Month)]" caption="Date (Month)" numFmtId="0" hierarchy="3" level="1">
      <sharedItems count="1">
        <s v="Jan"/>
      </sharedItems>
    </cacheField>
    <cacheField name="[Calender_table].[Date (Year)].[Date (Year)]" caption="Date (Year)" numFmtId="0" hierarchy="1" level="1">
      <sharedItems count="1">
        <s v="2024"/>
      </sharedItems>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5833335" createdVersion="5" refreshedVersion="8" minRefreshableVersion="3" recordCount="0" supportSubquery="1" supportAdvancedDrill="1" xr:uid="{7913687B-5FD5-4036-A486-CEDFD201BF35}">
  <cacheSource type="external" connectionId="3"/>
  <cacheFields count="3">
    <cacheField name="[Measures].[Distinct Count of Patient Id]" caption="Distinct Count of Patient Id" numFmtId="0" hierarchy="22"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6180558" createdVersion="5" refreshedVersion="8" minRefreshableVersion="3" recordCount="0" supportSubquery="1" supportAdvancedDrill="1" xr:uid="{147388DB-5DA5-4F7B-BF35-0AD95883712D}">
  <cacheSource type="external" connectionId="3"/>
  <cacheFields count="4">
    <cacheField name="[Calender_table].[Date (Month)].[Date (Month)]" caption="Date (Month)" numFmtId="0" hierarchy="3"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0" level="32767"/>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664352" createdVersion="5" refreshedVersion="8" minRefreshableVersion="3" recordCount="0" supportSubquery="1" supportAdvancedDrill="1" xr:uid="{C84D75F7-E83B-4D9F-90FE-3DB5F33D116D}">
  <cacheSource type="external" connectionId="3"/>
  <cacheFields count="4">
    <cacheField name="[Calende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6759258" createdVersion="5" refreshedVersion="8" minRefreshableVersion="3" recordCount="0" supportSubquery="1" supportAdvancedDrill="1" xr:uid="{73114444-7132-4023-BA47-2E1195A8A3F4}">
  <cacheSource type="external" connectionId="3"/>
  <cacheFields count="3">
    <cacheField name="[Measures].[Average of Patient Waittime]" caption="Average of Patient Waittime" numFmtId="0" hierarchy="24"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6874997" createdVersion="5" refreshedVersion="8" minRefreshableVersion="3" recordCount="0" supportSubquery="1" supportAdvancedDrill="1" xr:uid="{286C7A7C-3A54-423A-B1E9-D7F61F202CDA}">
  <cacheSource type="external" connectionId="3"/>
  <cacheFields count="3">
    <cacheField name="[Measures].[Average of Patient Satisfaction Score]" caption="Average of Patient Satisfaction Score" numFmtId="0" hierarchy="26"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7106482" createdVersion="5" refreshedVersion="8" minRefreshableVersion="3" recordCount="0" supportSubquery="1" supportAdvancedDrill="1" xr:uid="{6E812765-D407-418C-AF60-377A90EB56FB}">
  <cacheSource type="external" connectionId="3"/>
  <cacheFields count="4">
    <cacheField name="[Measures].[Distinct Count of Patient Id]" caption="Distinct Count of Patient Id" numFmtId="0" hierarchy="22" level="32767"/>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Month)].[Date (Month)]" caption="Date (Month)" numFmtId="0" hierarchy="3" level="1">
      <sharedItems count="1">
        <s v="Jan"/>
      </sharedItems>
    </cacheField>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7453705" createdVersion="5" refreshedVersion="8" minRefreshableVersion="3" recordCount="0" supportSubquery="1" supportAdvancedDrill="1" xr:uid="{847D548F-69EB-4348-9AC4-D78BCE25BDFF}">
  <cacheSource type="external" connectionId="3"/>
  <cacheFields count="4">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Month)].[Date (Month)]" caption="Date (Month)" numFmtId="0" hierarchy="3" level="1">
      <sharedItems count="1">
        <s v="Jan"/>
      </sharedItems>
    </cacheField>
    <cacheField name="[Measures].[Average of Patient Waittime]" caption="Average of Patient Waittime" numFmtId="0" hierarchy="24" level="32767"/>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7916667" createdVersion="5" refreshedVersion="8" minRefreshableVersion="3" recordCount="0" supportSubquery="1" supportAdvancedDrill="1" xr:uid="{364E4401-F791-4377-A7E7-23665B87CE16}">
  <cacheSource type="external" connectionId="3"/>
  <cacheFields count="4">
    <cacheField name="[Calender_table].[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Month)].[Date (Month)]" caption="Date (Month)" numFmtId="0" hierarchy="3" level="1">
      <sharedItems count="1">
        <s v="Jan"/>
      </sharedItems>
    </cacheField>
    <cacheField name="[Measures].[Average of Patient Satisfaction Score]" caption="Average of Patient Satisfaction Score" numFmtId="0" hierarchy="26" level="32767"/>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826389" createdVersion="5" refreshedVersion="8" minRefreshableVersion="3" recordCount="0" supportSubquery="1" supportAdvancedDrill="1" xr:uid="{8662BFFF-A9C3-48FE-8B36-649E1DA1AA50}">
  <cacheSource type="external" connectionId="3"/>
  <cacheFields count="5">
    <cacheField name="[Calende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7" level="32767"/>
    <cacheField name="[Calender_table].[Date (Year)].[Date (Year)]" caption="Date (Year)" numFmtId="0" hierarchy="1" level="1">
      <sharedItems containsSemiMixedTypes="0" containsNonDate="0" containsString="0"/>
    </cacheField>
    <cacheField name="Dummy0" numFmtId="0" hierarchy="32" level="32767">
      <extLst>
        <ext xmlns:x14="http://schemas.microsoft.com/office/spreadsheetml/2009/9/main" uri="{63CAB8AC-B538-458d-9737-405883B0398D}">
          <x14:cacheField ignore="1"/>
        </ext>
      </extLst>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8611113" createdVersion="5" refreshedVersion="8" minRefreshableVersion="3" recordCount="0" supportSubquery="1" supportAdvancedDrill="1" xr:uid="{CBA380CF-4DB1-403C-AFED-CABA3EE181D8}">
  <cacheSource type="external" connectionId="3"/>
  <cacheFields count="4">
    <cacheField name="[Calender_table].[Date (Month)].[Date (Month)]" caption="Date (Month)" numFmtId="0" hierarchy="3" level="1">
      <sharedItems containsSemiMixedTypes="0" containsNonDate="0" containsString="0"/>
    </cacheField>
    <cacheField name="[Measures].[Count of Age Group]" caption="Count of Age Group" numFmtId="0" hierarchy="28" level="32767"/>
    <cacheField name="[Hospital Emergency Room Data].[Age Group].[Age Group]" caption="Age Group" numFmtId="0" hierarchy="15" level="1">
      <sharedItems count="8">
        <s v="0-09"/>
        <s v="10-19"/>
        <s v="20-29"/>
        <s v="30-39"/>
        <s v="40-49"/>
        <s v="50-59"/>
        <s v="60-69"/>
        <s v="70-79"/>
      </sharedItems>
    </cacheField>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69.719648958337" createdVersion="5" refreshedVersion="8" minRefreshableVersion="3" recordCount="0" supportSubquery="1" supportAdvancedDrill="1" xr:uid="{1BA9461A-EB2C-4E4E-8100-BA7D51C5A06A}">
  <cacheSource type="external" connectionId="3"/>
  <cacheFields count="4">
    <cacheField name="[Calender_table].[Date (Month)].[Date (Month)]" caption="Date (Month)" numFmtId="0" hierarchy="3" level="1">
      <sharedItems containsSemiMixedTypes="0" containsNonDate="0" containsString="0"/>
    </cacheField>
    <cacheField name="[Measures].[Count of Patient Attend Status]" caption="Count of Patient Attend Status" numFmtId="0" hierarchy="29" level="32767"/>
    <cacheField name="[Hospital Emergency Room Data].[Patient Attend Status].[Patient Attend Status]" caption="Patient Attend Status" numFmtId="0" hierarchy="16" level="1">
      <sharedItems count="2">
        <s v="Delay"/>
        <s v="Ontime"/>
      </sharedItems>
    </cacheField>
    <cacheField name="[Calender_table].[Date (Year)].[Date (Year)]" caption="Date (Year)"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49.743250694446" createdVersion="3" refreshedVersion="8" minRefreshableVersion="3" recordCount="0" supportSubquery="1" supportAdvancedDrill="1" xr:uid="{C9F0F9D5-8AD0-42A5-B47B-E6CBA3A47181}">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5923319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663B6A-D373-4B66-A7A3-EFCC91ACFCE6}" name="PivotTable12" cacheId="639"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chartFormat="19">
  <location ref="E41:E43" firstHeaderRow="1" firstDataRow="1" firstDataCol="1"/>
  <pivotFields count="2">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1">
    <field x="1"/>
  </rowFields>
  <rowItems count="2">
    <i>
      <x/>
    </i>
    <i t="grand">
      <x/>
    </i>
  </rowItems>
  <formats count="1">
    <format dxfId="0">
      <pivotArea outline="0" collapsedLevelsAreSubtotals="1"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E7E0E1-B5D2-4CCF-947A-B79ABFE6E4E1}" name="PivotTable11" cacheId="648"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chartFormat="23">
  <location ref="A47:B5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1">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9236C-4BC1-4321-B92B-CE7EE640C559}" name="PivotTable10" cacheId="645"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chartFormat="19">
  <location ref="A41: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6">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E6564-4FF7-4D35-A80F-3976FD1FEC68}" name="PivotTable9" cacheId="672"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chartFormat="13">
  <location ref="A36:B3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3">
      <pivotArea outline="0" collapsedLevelsAreSubtotals="1" fieldPosition="0"/>
    </format>
  </formats>
  <chartFormats count="1">
    <chartFormat chart="11" format="7"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703C04-50B9-4081-BA98-0AC1BE84B32F}" name="PivotTable8" cacheId="669"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chartFormat="8">
  <location ref="A24:B3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59FF3B-8CBD-4F8E-99C0-BE977DAF617A}" name="PivotTable7" cacheId="666"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chartFormat="4">
  <location ref="A14:C1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9">
      <pivotArea outline="0" collapsedLevelsAreSubtotals="1" fieldPosition="0"/>
    </format>
    <format dxfId="8">
      <pivotArea collapsedLevelsAreSubtotals="1" fieldPosition="0">
        <references count="2">
          <reference field="4294967294" count="1" selected="0">
            <x v="0"/>
          </reference>
          <reference field="1" count="1">
            <x v="0"/>
          </reference>
        </references>
      </pivotArea>
    </format>
    <format dxfId="7">
      <pivotArea collapsedLevelsAreSubtotals="1" fieldPosition="0">
        <references count="2">
          <reference field="4294967294" count="1" selected="0">
            <x v="0"/>
          </reference>
          <reference field="1" count="1">
            <x v="1"/>
          </reference>
        </references>
      </pivotArea>
    </format>
    <format dxfId="6">
      <pivotArea field="1" grandRow="1" outline="0" collapsedLevelsAreSubtotals="1" axis="axisRow" fieldPosition="0">
        <references count="1">
          <reference field="4294967294" count="1" selected="0">
            <x v="0"/>
          </reference>
        </references>
      </pivotArea>
    </format>
    <format dxfId="5">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ABEFBB-327B-4A5D-B108-3ADA4AE8BD4A}" name="PivotTable3" cacheId="654"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0">
      <pivotArea outline="0" collapsedLevelsAreSubtotals="1" fieldPosition="0"/>
    </format>
  </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645C67-70BD-4B84-88C4-317412439085}" name="PivotTable6" cacheId="663" applyNumberFormats="0" applyBorderFormats="0" applyFontFormats="0" applyPatternFormats="0" applyAlignmentFormats="0" applyWidthHeightFormats="1" dataCaption="Values" tag="8d77ac75-cdde-4075-b339-7105802f385f" updatedVersion="8" minRefreshableVersion="3" subtotalHiddenItems="1" itemPrintTitles="1" createdVersion="5" indent="0" outline="1" outlineData="1" multipleFieldFilters="0" chartFormat="21">
  <location ref="P4:Q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2" subtotal="average" baseField="1" baseItem="0"/>
  </dataFields>
  <formats count="2">
    <format dxfId="12">
      <pivotArea collapsedLevelsAreSubtotals="1" fieldPosition="0">
        <references count="2">
          <reference field="0" count="0"/>
          <reference field="1" count="0" selected="0"/>
        </references>
      </pivotArea>
    </format>
    <format dxfId="11">
      <pivotArea grandRow="1"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CBC5A3-EFD6-441A-9931-6A4DFF18E5EC}" name="PivotTable2" cacheId="651"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CB717-4B6B-4D31-BC80-1BCA12FAAFE2}" name="PivotTable1" cacheId="642" applyNumberFormats="0" applyBorderFormats="0" applyFontFormats="0" applyPatternFormats="0" applyAlignmentFormats="0" applyWidthHeightFormats="1" dataCaption="Values" tag="8d77ac75-cdde-4075-b339-7105802f385f"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159F9E-94BC-46AA-92F9-DA792862920B}" name="PivotTable5" cacheId="660" applyNumberFormats="0" applyBorderFormats="0" applyFontFormats="0" applyPatternFormats="0" applyAlignmentFormats="0" applyWidthHeightFormats="1" dataCaption="Values" tag="8d77ac75-cdde-4075-b339-7105802f385f" updatedVersion="8" minRefreshableVersion="3" subtotalHiddenItems="1" itemPrintTitles="1" createdVersion="5" indent="0" outline="1" outlineData="1" multipleFieldFilters="0" chartFormat="15">
  <location ref="K4: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1" baseItem="0"/>
  </dataFields>
  <formats count="2">
    <format dxfId="15">
      <pivotArea collapsedLevelsAreSubtotals="1" fieldPosition="0">
        <references count="2">
          <reference field="0" count="0"/>
          <reference field="1" count="0" selected="0"/>
        </references>
      </pivotArea>
    </format>
    <format dxfId="14">
      <pivotArea grandRow="1"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B188FF-68FD-499B-BD1B-84202AF7C4B9}" name="PivotTable4" cacheId="657" applyNumberFormats="0" applyBorderFormats="0" applyFontFormats="0" applyPatternFormats="0" applyAlignmentFormats="0" applyWidthHeightFormats="1" dataCaption="Values" tag="8d77ac75-cdde-4075-b339-7105802f385f" updatedVersion="8" minRefreshableVersion="3" subtotalHiddenItems="1" itemPrintTitles="1" createdVersion="5" indent="0" outline="1" outlineData="1" multipleFieldFilters="0" chartFormat="7">
  <location ref="F4:G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F7216B6-E9A4-43AB-BC0C-6DB35B71558D}"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9233193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4DA8E72-90C1-417E-8990-A6C4DBA2FEF3}"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92331932">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2F37D46-11B5-4DC4-9786-434CD5BF6B6D}" cache="Slicer_Date__Month" caption="Date (Month)" showCaption="0" level="1" style="my style" rowHeight="136800"/>
  <slicer name="Date (Year)" xr10:uid="{146E69CC-99FC-49A6-B994-5E97FF47384C}" cache="Slicer_Date__Year" caption="Date (Year)" showCaption="0" level="1" style="my style"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ED96-F933-4302-A042-AAC1102DC9A4}">
  <dimension ref="A3:Q56"/>
  <sheetViews>
    <sheetView topLeftCell="A38" workbookViewId="0">
      <selection activeCell="E41" sqref="E41"/>
    </sheetView>
  </sheetViews>
  <sheetFormatPr defaultRowHeight="15" x14ac:dyDescent="0.25"/>
  <cols>
    <col min="1" max="1" width="18.85546875" customWidth="1"/>
    <col min="2" max="2" width="13.7109375" customWidth="1"/>
    <col min="3" max="3" width="12.7109375" customWidth="1"/>
    <col min="6" max="6" width="13.85546875" customWidth="1"/>
    <col min="11" max="11" width="14.85546875" customWidth="1"/>
    <col min="12" max="12" width="14.5703125" customWidth="1"/>
    <col min="16" max="16" width="15.42578125" customWidth="1"/>
    <col min="17" max="17" width="14.7109375" customWidth="1"/>
  </cols>
  <sheetData>
    <row r="3" spans="1:17" x14ac:dyDescent="0.25">
      <c r="A3" t="s">
        <v>1</v>
      </c>
      <c r="F3" t="s">
        <v>6</v>
      </c>
      <c r="K3" t="s">
        <v>7</v>
      </c>
      <c r="P3" t="s">
        <v>8</v>
      </c>
    </row>
    <row r="4" spans="1:17" x14ac:dyDescent="0.25">
      <c r="A4" t="s">
        <v>0</v>
      </c>
      <c r="F4" s="1" t="s">
        <v>5</v>
      </c>
      <c r="G4" t="s">
        <v>0</v>
      </c>
      <c r="K4" s="1" t="s">
        <v>5</v>
      </c>
      <c r="L4" t="s">
        <v>2</v>
      </c>
      <c r="P4" s="1" t="s">
        <v>5</v>
      </c>
      <c r="Q4" t="s">
        <v>3</v>
      </c>
    </row>
    <row r="5" spans="1:17" x14ac:dyDescent="0.25">
      <c r="A5" s="7">
        <v>513</v>
      </c>
      <c r="F5" s="4" t="s">
        <v>16</v>
      </c>
      <c r="G5" s="7"/>
      <c r="K5" s="4" t="s">
        <v>16</v>
      </c>
      <c r="L5" s="7"/>
      <c r="P5" s="4" t="s">
        <v>16</v>
      </c>
      <c r="Q5" s="7"/>
    </row>
    <row r="6" spans="1:17" x14ac:dyDescent="0.25">
      <c r="F6" s="5">
        <v>45292</v>
      </c>
      <c r="G6" s="7">
        <v>19</v>
      </c>
      <c r="K6" s="5">
        <v>45292</v>
      </c>
      <c r="L6" s="2">
        <v>37.789473684210527</v>
      </c>
      <c r="P6" s="5">
        <v>45292</v>
      </c>
      <c r="Q6" s="2">
        <v>6.666666666666667</v>
      </c>
    </row>
    <row r="7" spans="1:17" x14ac:dyDescent="0.25">
      <c r="F7" s="5">
        <v>45293</v>
      </c>
      <c r="G7" s="7">
        <v>14</v>
      </c>
      <c r="K7" s="5">
        <v>45293</v>
      </c>
      <c r="L7" s="2">
        <v>38.214285714285715</v>
      </c>
      <c r="P7" s="5">
        <v>45293</v>
      </c>
      <c r="Q7" s="2">
        <v>3.5</v>
      </c>
    </row>
    <row r="8" spans="1:17" x14ac:dyDescent="0.25">
      <c r="A8" t="s">
        <v>2</v>
      </c>
      <c r="F8" s="5">
        <v>45294</v>
      </c>
      <c r="G8" s="7">
        <v>13</v>
      </c>
      <c r="K8" s="5">
        <v>45294</v>
      </c>
      <c r="L8" s="2">
        <v>40.92307692307692</v>
      </c>
      <c r="P8" s="5">
        <v>45294</v>
      </c>
      <c r="Q8" s="2">
        <v>4.5</v>
      </c>
    </row>
    <row r="9" spans="1:17" x14ac:dyDescent="0.25">
      <c r="A9" s="2">
        <v>36.323586744639378</v>
      </c>
      <c r="F9" s="5">
        <v>45295</v>
      </c>
      <c r="G9" s="7">
        <v>22</v>
      </c>
      <c r="K9" s="5">
        <v>45295</v>
      </c>
      <c r="L9" s="2">
        <v>34.5</v>
      </c>
      <c r="P9" s="5">
        <v>45295</v>
      </c>
      <c r="Q9" s="2">
        <v>4.8</v>
      </c>
    </row>
    <row r="10" spans="1:17" x14ac:dyDescent="0.25">
      <c r="F10" s="5">
        <v>45296</v>
      </c>
      <c r="G10" s="7">
        <v>19</v>
      </c>
      <c r="K10" s="5">
        <v>45296</v>
      </c>
      <c r="L10" s="2">
        <v>30.684210526315791</v>
      </c>
      <c r="P10" s="5">
        <v>45296</v>
      </c>
      <c r="Q10" s="2">
        <v>7.75</v>
      </c>
    </row>
    <row r="11" spans="1:17" x14ac:dyDescent="0.25">
      <c r="A11" t="s">
        <v>3</v>
      </c>
      <c r="F11" s="5">
        <v>45297</v>
      </c>
      <c r="G11" s="7">
        <v>15</v>
      </c>
      <c r="K11" s="5">
        <v>45297</v>
      </c>
      <c r="L11" s="2">
        <v>37.666666666666664</v>
      </c>
      <c r="P11" s="5">
        <v>45297</v>
      </c>
      <c r="Q11" s="2">
        <v>6.2</v>
      </c>
    </row>
    <row r="12" spans="1:17" x14ac:dyDescent="0.25">
      <c r="A12" s="2">
        <v>4.9591836734693882</v>
      </c>
      <c r="F12" s="5">
        <v>45298</v>
      </c>
      <c r="G12" s="7">
        <v>12</v>
      </c>
      <c r="K12" s="5">
        <v>45298</v>
      </c>
      <c r="L12" s="2">
        <v>36.083333333333336</v>
      </c>
      <c r="P12" s="5">
        <v>45298</v>
      </c>
      <c r="Q12" s="2">
        <v>3.75</v>
      </c>
    </row>
    <row r="13" spans="1:17" x14ac:dyDescent="0.25">
      <c r="F13" s="5">
        <v>45299</v>
      </c>
      <c r="G13" s="7">
        <v>21</v>
      </c>
      <c r="K13" s="5">
        <v>45299</v>
      </c>
      <c r="L13" s="2">
        <v>43.523809523809526</v>
      </c>
      <c r="P13" s="5">
        <v>45299</v>
      </c>
      <c r="Q13" s="2">
        <v>6.5</v>
      </c>
    </row>
    <row r="14" spans="1:17" x14ac:dyDescent="0.25">
      <c r="A14" s="1" t="s">
        <v>5</v>
      </c>
      <c r="B14" t="s">
        <v>11</v>
      </c>
      <c r="C14" t="s">
        <v>12</v>
      </c>
      <c r="F14" s="5">
        <v>45300</v>
      </c>
      <c r="G14" s="7">
        <v>12</v>
      </c>
      <c r="K14" s="5">
        <v>45300</v>
      </c>
      <c r="L14" s="2">
        <v>29.5</v>
      </c>
      <c r="P14" s="5">
        <v>45300</v>
      </c>
      <c r="Q14" s="2">
        <v>3</v>
      </c>
    </row>
    <row r="15" spans="1:17" x14ac:dyDescent="0.25">
      <c r="A15" s="4" t="s">
        <v>9</v>
      </c>
      <c r="B15" s="8">
        <v>269</v>
      </c>
      <c r="C15" s="9">
        <v>0.52436647173489281</v>
      </c>
      <c r="F15" s="5">
        <v>45301</v>
      </c>
      <c r="G15" s="7">
        <v>13</v>
      </c>
      <c r="K15" s="5">
        <v>45301</v>
      </c>
      <c r="L15" s="2">
        <v>38.07692307692308</v>
      </c>
      <c r="P15" s="5">
        <v>45301</v>
      </c>
      <c r="Q15" s="2">
        <v>4.5</v>
      </c>
    </row>
    <row r="16" spans="1:17" x14ac:dyDescent="0.25">
      <c r="A16" s="4" t="s">
        <v>10</v>
      </c>
      <c r="B16" s="8">
        <v>244</v>
      </c>
      <c r="C16" s="9">
        <v>0.47563352826510719</v>
      </c>
      <c r="F16" s="5">
        <v>45302</v>
      </c>
      <c r="G16" s="7">
        <v>13</v>
      </c>
      <c r="K16" s="5">
        <v>45302</v>
      </c>
      <c r="L16" s="2">
        <v>35.846153846153847</v>
      </c>
      <c r="P16" s="5">
        <v>45302</v>
      </c>
      <c r="Q16" s="2">
        <v>6</v>
      </c>
    </row>
    <row r="17" spans="1:17" x14ac:dyDescent="0.25">
      <c r="A17" s="4" t="s">
        <v>4</v>
      </c>
      <c r="B17" s="8">
        <v>513</v>
      </c>
      <c r="C17" s="9">
        <v>1</v>
      </c>
      <c r="F17" s="5">
        <v>45303</v>
      </c>
      <c r="G17" s="7">
        <v>16</v>
      </c>
      <c r="K17" s="5">
        <v>45303</v>
      </c>
      <c r="L17" s="2">
        <v>32.625</v>
      </c>
      <c r="P17" s="5">
        <v>45303</v>
      </c>
      <c r="Q17" s="2">
        <v>5.2</v>
      </c>
    </row>
    <row r="18" spans="1:17" x14ac:dyDescent="0.25">
      <c r="F18" s="5">
        <v>45304</v>
      </c>
      <c r="G18" s="7">
        <v>20</v>
      </c>
      <c r="K18" s="5">
        <v>45304</v>
      </c>
      <c r="L18" s="2">
        <v>39.200000000000003</v>
      </c>
      <c r="P18" s="5">
        <v>45304</v>
      </c>
      <c r="Q18" s="2">
        <v>4.4000000000000004</v>
      </c>
    </row>
    <row r="19" spans="1:17" x14ac:dyDescent="0.25">
      <c r="A19" s="12" t="s">
        <v>13</v>
      </c>
      <c r="B19" s="12" t="s">
        <v>15</v>
      </c>
      <c r="C19" s="12" t="s">
        <v>14</v>
      </c>
      <c r="D19" s="12"/>
      <c r="E19" s="10"/>
      <c r="F19" s="5">
        <v>45305</v>
      </c>
      <c r="G19" s="7">
        <v>25</v>
      </c>
      <c r="K19" s="5">
        <v>45305</v>
      </c>
      <c r="L19" s="2">
        <v>35.28</v>
      </c>
      <c r="P19" s="5">
        <v>45305</v>
      </c>
      <c r="Q19" s="2">
        <v>3.4545454545454546</v>
      </c>
    </row>
    <row r="20" spans="1:17" x14ac:dyDescent="0.25">
      <c r="A20" s="13" t="str">
        <f>A16</f>
        <v>Not Admitted</v>
      </c>
      <c r="B20" s="13">
        <f>B16</f>
        <v>244</v>
      </c>
      <c r="C20" s="14">
        <f>C16</f>
        <v>0.47563352826510719</v>
      </c>
      <c r="D20" s="13"/>
      <c r="E20" s="11"/>
      <c r="F20" s="5">
        <v>45306</v>
      </c>
      <c r="G20" s="7">
        <v>20</v>
      </c>
      <c r="K20" s="5">
        <v>45306</v>
      </c>
      <c r="L20" s="2">
        <v>32.549999999999997</v>
      </c>
      <c r="P20" s="5">
        <v>45306</v>
      </c>
      <c r="Q20" s="2">
        <v>4.4000000000000004</v>
      </c>
    </row>
    <row r="21" spans="1:17" x14ac:dyDescent="0.25">
      <c r="A21" s="13" t="str">
        <f>A15</f>
        <v>Admitted</v>
      </c>
      <c r="B21" s="13">
        <f>B15</f>
        <v>269</v>
      </c>
      <c r="C21" s="14">
        <f>C15</f>
        <v>0.52436647173489281</v>
      </c>
      <c r="D21" s="13"/>
      <c r="E21" s="11"/>
      <c r="F21" s="5">
        <v>45307</v>
      </c>
      <c r="G21" s="7">
        <v>14</v>
      </c>
      <c r="K21" s="5">
        <v>45307</v>
      </c>
      <c r="L21" s="2">
        <v>35.642857142857146</v>
      </c>
      <c r="P21" s="5">
        <v>45307</v>
      </c>
      <c r="Q21" s="2">
        <v>5.833333333333333</v>
      </c>
    </row>
    <row r="22" spans="1:17" x14ac:dyDescent="0.25">
      <c r="F22" s="5">
        <v>45308</v>
      </c>
      <c r="G22" s="7">
        <v>17</v>
      </c>
      <c r="K22" s="5">
        <v>45308</v>
      </c>
      <c r="L22" s="2">
        <v>38.764705882352942</v>
      </c>
      <c r="P22" s="5">
        <v>45308</v>
      </c>
      <c r="Q22" s="2">
        <v>4.4444444444444446</v>
      </c>
    </row>
    <row r="23" spans="1:17" x14ac:dyDescent="0.25">
      <c r="A23" t="s">
        <v>28</v>
      </c>
      <c r="F23" s="5">
        <v>45309</v>
      </c>
      <c r="G23" s="7">
        <v>20</v>
      </c>
      <c r="K23" s="5">
        <v>45309</v>
      </c>
      <c r="L23" s="2">
        <v>39.9</v>
      </c>
      <c r="P23" s="5">
        <v>45309</v>
      </c>
      <c r="Q23" s="2">
        <v>5.333333333333333</v>
      </c>
    </row>
    <row r="24" spans="1:17" x14ac:dyDescent="0.25">
      <c r="A24" s="1" t="s">
        <v>5</v>
      </c>
      <c r="B24" t="s">
        <v>17</v>
      </c>
      <c r="F24" s="5">
        <v>45310</v>
      </c>
      <c r="G24" s="7">
        <v>10</v>
      </c>
      <c r="K24" s="5">
        <v>45310</v>
      </c>
      <c r="L24" s="2">
        <v>41.6</v>
      </c>
      <c r="P24" s="5">
        <v>45310</v>
      </c>
      <c r="Q24" s="2">
        <v>5.333333333333333</v>
      </c>
    </row>
    <row r="25" spans="1:17" x14ac:dyDescent="0.25">
      <c r="A25" s="4" t="s">
        <v>18</v>
      </c>
      <c r="B25" s="8">
        <v>76</v>
      </c>
      <c r="F25" s="5">
        <v>45311</v>
      </c>
      <c r="G25" s="7">
        <v>17</v>
      </c>
      <c r="K25" s="5">
        <v>45311</v>
      </c>
      <c r="L25" s="2">
        <v>39.470588235294116</v>
      </c>
      <c r="P25" s="5">
        <v>45311</v>
      </c>
      <c r="Q25" s="2">
        <v>5.5714285714285712</v>
      </c>
    </row>
    <row r="26" spans="1:17" x14ac:dyDescent="0.25">
      <c r="A26" s="4" t="s">
        <v>19</v>
      </c>
      <c r="B26" s="8">
        <v>69</v>
      </c>
      <c r="F26" s="5">
        <v>45312</v>
      </c>
      <c r="G26" s="7">
        <v>15</v>
      </c>
      <c r="K26" s="5">
        <v>45312</v>
      </c>
      <c r="L26" s="2">
        <v>27.733333333333334</v>
      </c>
      <c r="P26" s="5">
        <v>45312</v>
      </c>
      <c r="Q26" s="2">
        <v>5</v>
      </c>
    </row>
    <row r="27" spans="1:17" x14ac:dyDescent="0.25">
      <c r="A27" s="4" t="s">
        <v>20</v>
      </c>
      <c r="B27" s="8">
        <v>64</v>
      </c>
      <c r="F27" s="5">
        <v>45313</v>
      </c>
      <c r="G27" s="7">
        <v>16</v>
      </c>
      <c r="K27" s="5">
        <v>45313</v>
      </c>
      <c r="L27" s="2">
        <v>36.875</v>
      </c>
      <c r="P27" s="5">
        <v>45313</v>
      </c>
      <c r="Q27" s="2">
        <v>6.4</v>
      </c>
    </row>
    <row r="28" spans="1:17" x14ac:dyDescent="0.25">
      <c r="A28" s="4" t="s">
        <v>21</v>
      </c>
      <c r="B28" s="8">
        <v>59</v>
      </c>
      <c r="F28" s="5">
        <v>45314</v>
      </c>
      <c r="G28" s="7">
        <v>18</v>
      </c>
      <c r="K28" s="5">
        <v>45314</v>
      </c>
      <c r="L28" s="2">
        <v>40.333333333333336</v>
      </c>
      <c r="P28" s="5">
        <v>45314</v>
      </c>
      <c r="Q28" s="2">
        <v>5.333333333333333</v>
      </c>
    </row>
    <row r="29" spans="1:17" x14ac:dyDescent="0.25">
      <c r="A29" s="4" t="s">
        <v>22</v>
      </c>
      <c r="B29" s="8">
        <v>58</v>
      </c>
      <c r="F29" s="5">
        <v>45315</v>
      </c>
      <c r="G29" s="7">
        <v>16</v>
      </c>
      <c r="K29" s="5">
        <v>45315</v>
      </c>
      <c r="L29" s="2">
        <v>36.5</v>
      </c>
      <c r="P29" s="5">
        <v>45315</v>
      </c>
      <c r="Q29" s="2">
        <v>3.75</v>
      </c>
    </row>
    <row r="30" spans="1:17" x14ac:dyDescent="0.25">
      <c r="A30" s="4" t="s">
        <v>23</v>
      </c>
      <c r="B30" s="8">
        <v>66</v>
      </c>
      <c r="F30" s="5">
        <v>45316</v>
      </c>
      <c r="G30" s="7">
        <v>15</v>
      </c>
      <c r="K30" s="5">
        <v>45316</v>
      </c>
      <c r="L30" s="2">
        <v>32.866666666666667</v>
      </c>
      <c r="P30" s="5">
        <v>45316</v>
      </c>
      <c r="Q30" s="2">
        <v>6.333333333333333</v>
      </c>
    </row>
    <row r="31" spans="1:17" x14ac:dyDescent="0.25">
      <c r="A31" s="4" t="s">
        <v>24</v>
      </c>
      <c r="B31" s="8">
        <v>67</v>
      </c>
      <c r="F31" s="5">
        <v>45317</v>
      </c>
      <c r="G31" s="7">
        <v>14</v>
      </c>
      <c r="K31" s="5">
        <v>45317</v>
      </c>
      <c r="L31" s="2">
        <v>36.642857142857146</v>
      </c>
      <c r="P31" s="5">
        <v>45317</v>
      </c>
      <c r="Q31" s="2">
        <v>10</v>
      </c>
    </row>
    <row r="32" spans="1:17" x14ac:dyDescent="0.25">
      <c r="A32" s="4" t="s">
        <v>25</v>
      </c>
      <c r="B32" s="8">
        <v>54</v>
      </c>
      <c r="F32" s="5">
        <v>45318</v>
      </c>
      <c r="G32" s="7">
        <v>16</v>
      </c>
      <c r="K32" s="5">
        <v>45318</v>
      </c>
      <c r="L32" s="2">
        <v>36.5625</v>
      </c>
      <c r="P32" s="5">
        <v>45318</v>
      </c>
      <c r="Q32" s="2">
        <v>5</v>
      </c>
    </row>
    <row r="33" spans="1:17" x14ac:dyDescent="0.25">
      <c r="A33" s="4" t="s">
        <v>4</v>
      </c>
      <c r="B33" s="8">
        <v>513</v>
      </c>
      <c r="F33" s="5">
        <v>45319</v>
      </c>
      <c r="G33" s="7">
        <v>20</v>
      </c>
      <c r="K33" s="5">
        <v>45319</v>
      </c>
      <c r="L33" s="2">
        <v>32.15</v>
      </c>
      <c r="P33" s="5">
        <v>45319</v>
      </c>
      <c r="Q33" s="2">
        <v>5.333333333333333</v>
      </c>
    </row>
    <row r="34" spans="1:17" x14ac:dyDescent="0.25">
      <c r="F34" s="5">
        <v>45320</v>
      </c>
      <c r="G34" s="7">
        <v>19</v>
      </c>
      <c r="K34" s="5">
        <v>45320</v>
      </c>
      <c r="L34" s="2">
        <v>38.368421052631582</v>
      </c>
      <c r="P34" s="5">
        <v>45320</v>
      </c>
      <c r="Q34" s="2">
        <v>4.8</v>
      </c>
    </row>
    <row r="35" spans="1:17" x14ac:dyDescent="0.25">
      <c r="A35" s="4" t="s">
        <v>30</v>
      </c>
      <c r="F35" s="5">
        <v>45321</v>
      </c>
      <c r="G35" s="7">
        <v>14</v>
      </c>
      <c r="K35" s="5">
        <v>45321</v>
      </c>
      <c r="L35" s="2">
        <v>33.071428571428569</v>
      </c>
      <c r="P35" s="5">
        <v>45321</v>
      </c>
      <c r="Q35" s="2">
        <v>5</v>
      </c>
    </row>
    <row r="36" spans="1:17" x14ac:dyDescent="0.25">
      <c r="A36" s="1" t="s">
        <v>5</v>
      </c>
      <c r="B36" t="s">
        <v>29</v>
      </c>
      <c r="F36" s="5">
        <v>45322</v>
      </c>
      <c r="G36" s="7">
        <v>18</v>
      </c>
      <c r="K36" s="5">
        <v>45322</v>
      </c>
      <c r="L36" s="2">
        <v>36.444444444444443</v>
      </c>
      <c r="P36" s="5">
        <v>45322</v>
      </c>
      <c r="Q36" s="2">
        <v>1.4</v>
      </c>
    </row>
    <row r="37" spans="1:17" x14ac:dyDescent="0.25">
      <c r="A37" s="4" t="s">
        <v>26</v>
      </c>
      <c r="B37" s="8">
        <v>316</v>
      </c>
      <c r="F37" s="4" t="s">
        <v>4</v>
      </c>
      <c r="G37" s="7">
        <v>513</v>
      </c>
      <c r="K37" s="4" t="s">
        <v>4</v>
      </c>
      <c r="L37" s="2">
        <v>36.323586744639378</v>
      </c>
      <c r="P37" s="4" t="s">
        <v>4</v>
      </c>
      <c r="Q37" s="2">
        <v>4.9591836734693882</v>
      </c>
    </row>
    <row r="38" spans="1:17" x14ac:dyDescent="0.25">
      <c r="A38" s="4" t="s">
        <v>27</v>
      </c>
      <c r="B38" s="8">
        <v>197</v>
      </c>
    </row>
    <row r="39" spans="1:17" x14ac:dyDescent="0.25">
      <c r="A39" s="4" t="s">
        <v>4</v>
      </c>
      <c r="B39" s="8">
        <v>513</v>
      </c>
    </row>
    <row r="40" spans="1:17" x14ac:dyDescent="0.25">
      <c r="A40" s="4" t="s">
        <v>34</v>
      </c>
    </row>
    <row r="41" spans="1:17" x14ac:dyDescent="0.25">
      <c r="A41" s="1" t="s">
        <v>5</v>
      </c>
      <c r="B41" t="s">
        <v>33</v>
      </c>
      <c r="E41" s="1" t="s">
        <v>5</v>
      </c>
    </row>
    <row r="42" spans="1:17" x14ac:dyDescent="0.25">
      <c r="A42" s="4" t="s">
        <v>31</v>
      </c>
      <c r="B42" s="8">
        <v>241</v>
      </c>
      <c r="E42" s="4" t="s">
        <v>44</v>
      </c>
    </row>
    <row r="43" spans="1:17" x14ac:dyDescent="0.25">
      <c r="A43" s="4" t="s">
        <v>32</v>
      </c>
      <c r="B43" s="8">
        <v>272</v>
      </c>
      <c r="E43" s="4" t="s">
        <v>4</v>
      </c>
    </row>
    <row r="44" spans="1:17" x14ac:dyDescent="0.25">
      <c r="A44" s="4" t="s">
        <v>4</v>
      </c>
      <c r="B44" s="8">
        <v>513</v>
      </c>
    </row>
    <row r="47" spans="1:17" x14ac:dyDescent="0.25">
      <c r="A47" s="1" t="s">
        <v>5</v>
      </c>
      <c r="B47" t="s">
        <v>43</v>
      </c>
    </row>
    <row r="48" spans="1:17" x14ac:dyDescent="0.25">
      <c r="A48" s="4" t="s">
        <v>36</v>
      </c>
      <c r="B48" s="8">
        <v>4</v>
      </c>
    </row>
    <row r="49" spans="1:2" x14ac:dyDescent="0.25">
      <c r="A49" s="4" t="s">
        <v>42</v>
      </c>
      <c r="B49" s="8">
        <v>5</v>
      </c>
    </row>
    <row r="50" spans="1:2" x14ac:dyDescent="0.25">
      <c r="A50" s="4" t="s">
        <v>38</v>
      </c>
      <c r="B50" s="8">
        <v>9</v>
      </c>
    </row>
    <row r="51" spans="1:2" x14ac:dyDescent="0.25">
      <c r="A51" s="4" t="s">
        <v>41</v>
      </c>
      <c r="B51" s="8">
        <v>14</v>
      </c>
    </row>
    <row r="52" spans="1:2" x14ac:dyDescent="0.25">
      <c r="A52" s="4" t="s">
        <v>35</v>
      </c>
      <c r="B52" s="8">
        <v>14</v>
      </c>
    </row>
    <row r="53" spans="1:2" x14ac:dyDescent="0.25">
      <c r="A53" s="4" t="s">
        <v>40</v>
      </c>
      <c r="B53" s="8">
        <v>65</v>
      </c>
    </row>
    <row r="54" spans="1:2" x14ac:dyDescent="0.25">
      <c r="A54" s="4" t="s">
        <v>37</v>
      </c>
      <c r="B54" s="8">
        <v>103</v>
      </c>
    </row>
    <row r="55" spans="1:2" x14ac:dyDescent="0.25">
      <c r="A55" s="4" t="s">
        <v>39</v>
      </c>
      <c r="B55" s="8">
        <v>299</v>
      </c>
    </row>
    <row r="56" spans="1:2" x14ac:dyDescent="0.25">
      <c r="A56" s="4" t="s">
        <v>4</v>
      </c>
      <c r="B56" s="8">
        <v>513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B26CC-3056-404D-926A-9AD7FC6BD845}">
  <dimension ref="A1"/>
  <sheetViews>
    <sheetView tabSelected="1" zoomScale="167" zoomScaleNormal="130" workbookViewId="0">
      <selection activeCell="F17" sqref="F17"/>
    </sheetView>
  </sheetViews>
  <sheetFormatPr defaultRowHeight="15" x14ac:dyDescent="0.25"/>
  <cols>
    <col min="1" max="6" width="9.140625" style="3"/>
    <col min="7" max="7" width="9.140625" style="3" customWidth="1"/>
    <col min="8" max="16384" width="9.140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9A84-C21F-44CF-A852-FCD955D8B43F}">
  <dimension ref="A1"/>
  <sheetViews>
    <sheetView workbookViewId="0"/>
  </sheetViews>
  <sheetFormatPr defaultRowHeight="15" x14ac:dyDescent="0.25"/>
  <cols>
    <col min="1" max="16384" width="9.14062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EF5D-3776-4244-A9CA-C2DF21DA3906}">
  <dimension ref="A1"/>
  <sheetViews>
    <sheetView workbookViewId="0">
      <selection activeCell="I22" sqref="I22"/>
    </sheetView>
  </sheetViews>
  <sheetFormatPr defaultRowHeight="15" x14ac:dyDescent="0.25"/>
  <cols>
    <col min="1" max="16384" width="9.140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CCD2-46B0-481D-9CBD-3A214F6CA6BE}">
  <dimension ref="A1"/>
  <sheetViews>
    <sheetView workbookViewId="0">
      <selection activeCell="O11" sqref="O11"/>
    </sheetView>
  </sheetViews>
  <sheetFormatPr defaultRowHeight="15" x14ac:dyDescent="0.25"/>
  <cols>
    <col min="1" max="16384" width="9.14062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5E46184-76E9-4586-8875-B99237C2164B}">
  <ds:schemaRefs/>
</ds:datastoreItem>
</file>

<file path=customXml/itemProps2.xml><?xml version="1.0" encoding="utf-8"?>
<ds:datastoreItem xmlns:ds="http://schemas.openxmlformats.org/officeDocument/2006/customXml" ds:itemID="{51D58858-53E0-48BC-A78B-97528B77430A}">
  <ds:schemaRefs/>
</ds:datastoreItem>
</file>

<file path=customXml/itemProps3.xml><?xml version="1.0" encoding="utf-8"?>
<ds:datastoreItem xmlns:ds="http://schemas.openxmlformats.org/officeDocument/2006/customXml" ds:itemID="{F1DA77DB-B048-4A68-9121-E8C3F3235F1A}">
  <ds:schemaRefs/>
</ds:datastoreItem>
</file>

<file path=customXml/itemProps4.xml><?xml version="1.0" encoding="utf-8"?>
<ds:datastoreItem xmlns:ds="http://schemas.openxmlformats.org/officeDocument/2006/customXml" ds:itemID="{46F54719-00C7-4438-BB40-5ADC7D06F2CC}">
  <ds:schemaRefs/>
</ds:datastoreItem>
</file>

<file path=customXml/itemProps5.xml><?xml version="1.0" encoding="utf-8"?>
<ds:datastoreItem xmlns:ds="http://schemas.openxmlformats.org/officeDocument/2006/customXml" ds:itemID="{5934DB0F-E48E-4F6C-AF5A-D69E8440FB3F}">
  <ds:schemaRefs/>
</ds:datastoreItem>
</file>

<file path=customXml/itemProps6.xml><?xml version="1.0" encoding="utf-8"?>
<ds:datastoreItem xmlns:ds="http://schemas.openxmlformats.org/officeDocument/2006/customXml" ds:itemID="{203A2D87-54A1-47B3-A226-96C441FB3A3B}">
  <ds:schemaRefs/>
</ds:datastoreItem>
</file>

<file path=customXml/itemProps7.xml><?xml version="1.0" encoding="utf-8"?>
<ds:datastoreItem xmlns:ds="http://schemas.openxmlformats.org/officeDocument/2006/customXml" ds:itemID="{A22C8A36-D860-47EF-8645-5396493EBAD5}">
  <ds:schemaRefs/>
</ds:datastoreItem>
</file>

<file path=customXml/itemProps8.xml><?xml version="1.0" encoding="utf-8"?>
<ds:datastoreItem xmlns:ds="http://schemas.openxmlformats.org/officeDocument/2006/customXml" ds:itemID="{A5921D54-3FA6-4427-9ABD-D7EF76F6E63D}">
  <ds:schemaRefs/>
</ds:datastoreItem>
</file>

<file path=customXml/itemProps9.xml><?xml version="1.0" encoding="utf-8"?>
<ds:datastoreItem xmlns:ds="http://schemas.openxmlformats.org/officeDocument/2006/customXml" ds:itemID="{A1BAE91D-BC50-4B8B-9866-2DBFFB56970F}">
  <ds:schemaRefs/>
</ds:datastoreItem>
</file>

<file path=customXml/itemProps10.xml><?xml version="1.0" encoding="utf-8"?>
<ds:datastoreItem xmlns:ds="http://schemas.openxmlformats.org/officeDocument/2006/customXml" ds:itemID="{1BD0A94D-8AA4-499B-8044-39CF249AD49B}">
  <ds:schemaRefs/>
</ds:datastoreItem>
</file>

<file path=customXml/itemProps11.xml><?xml version="1.0" encoding="utf-8"?>
<ds:datastoreItem xmlns:ds="http://schemas.openxmlformats.org/officeDocument/2006/customXml" ds:itemID="{A5E3AF53-C9CD-4509-A9DA-EE68E54DADEB}">
  <ds:schemaRefs/>
</ds:datastoreItem>
</file>

<file path=customXml/itemProps12.xml><?xml version="1.0" encoding="utf-8"?>
<ds:datastoreItem xmlns:ds="http://schemas.openxmlformats.org/officeDocument/2006/customXml" ds:itemID="{D4E77CF4-BDCD-4621-B7E6-7EC90973F687}">
  <ds:schemaRefs/>
</ds:datastoreItem>
</file>

<file path=customXml/itemProps13.xml><?xml version="1.0" encoding="utf-8"?>
<ds:datastoreItem xmlns:ds="http://schemas.openxmlformats.org/officeDocument/2006/customXml" ds:itemID="{AD1D8164-FEE7-4C1C-9A56-DC1247DE0484}">
  <ds:schemaRefs/>
</ds:datastoreItem>
</file>

<file path=customXml/itemProps14.xml><?xml version="1.0" encoding="utf-8"?>
<ds:datastoreItem xmlns:ds="http://schemas.openxmlformats.org/officeDocument/2006/customXml" ds:itemID="{27D0363D-A97C-4BC5-80DB-7B044112D818}">
  <ds:schemaRefs/>
</ds:datastoreItem>
</file>

<file path=customXml/itemProps15.xml><?xml version="1.0" encoding="utf-8"?>
<ds:datastoreItem xmlns:ds="http://schemas.openxmlformats.org/officeDocument/2006/customXml" ds:itemID="{EEA6CC85-8045-47E5-A4F1-F96446BFD56B}">
  <ds:schemaRefs>
    <ds:schemaRef ds:uri="http://schemas.microsoft.com/DataMashup"/>
  </ds:schemaRefs>
</ds:datastoreItem>
</file>

<file path=customXml/itemProps16.xml><?xml version="1.0" encoding="utf-8"?>
<ds:datastoreItem xmlns:ds="http://schemas.openxmlformats.org/officeDocument/2006/customXml" ds:itemID="{890F3959-1836-4557-9524-44EF173DE379}">
  <ds:schemaRefs/>
</ds:datastoreItem>
</file>

<file path=customXml/itemProps17.xml><?xml version="1.0" encoding="utf-8"?>
<ds:datastoreItem xmlns:ds="http://schemas.openxmlformats.org/officeDocument/2006/customXml" ds:itemID="{31EA440D-2192-4A27-9038-5BDEE5C15583}">
  <ds:schemaRefs/>
</ds:datastoreItem>
</file>

<file path=customXml/itemProps18.xml><?xml version="1.0" encoding="utf-8"?>
<ds:datastoreItem xmlns:ds="http://schemas.openxmlformats.org/officeDocument/2006/customXml" ds:itemID="{AAB30071-4945-473D-8413-351772B55E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Pateints</vt:lpstr>
      <vt:lpstr>Average waittime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dc:creator>
  <cp:lastModifiedBy>DHRUV</cp:lastModifiedBy>
  <dcterms:created xsi:type="dcterms:W3CDTF">2025-03-25T07:40:53Z</dcterms:created>
  <dcterms:modified xsi:type="dcterms:W3CDTF">2025-04-22T11:51:06Z</dcterms:modified>
</cp:coreProperties>
</file>